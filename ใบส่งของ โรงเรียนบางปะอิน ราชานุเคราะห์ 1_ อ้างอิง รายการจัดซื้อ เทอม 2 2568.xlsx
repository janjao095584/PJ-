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026374\AppData\Local\Microsoft\Windows\INetCache\Content.Outlook\7ZUH2X9I\"/>
    </mc:Choice>
  </mc:AlternateContent>
  <xr:revisionPtr revIDLastSave="0" documentId="13_ncr:1_{18D8F671-B4A4-4E84-8A6F-54F250275890}" xr6:coauthVersionLast="47" xr6:coauthVersionMax="47" xr10:uidLastSave="{00000000-0000-0000-0000-000000000000}"/>
  <bookViews>
    <workbookView xWindow="-120" yWindow="-120" windowWidth="19440" windowHeight="14880" firstSheet="1" activeTab="1" xr2:uid="{00000000-000D-0000-FFFF-FFFF00000000}"/>
  </bookViews>
  <sheets>
    <sheet name="ใบส่งของ" sheetId="5" state="hidden" r:id="rId1"/>
    <sheet name="Quotation (2)" sheetId="4" r:id="rId2"/>
    <sheet name="Sheet2" sheetId="3" state="hidden" r:id="rId3"/>
    <sheet name="Quotation" sheetId="1" state="hidden" r:id="rId4"/>
    <sheet name="Sheet1" sheetId="2" state="hidden" r:id="rId5"/>
  </sheets>
  <definedNames>
    <definedName name="ColumnTitle1" localSheetId="1">#REF!</definedName>
    <definedName name="ColumnTitle1" localSheetId="0">#REF!</definedName>
    <definedName name="ColumnTitle1">#REF!</definedName>
    <definedName name="ColumnTitleRegion1..B11.1" localSheetId="1">'Quotation (2)'!$B$5</definedName>
    <definedName name="ColumnTitleRegion1..B11.1" localSheetId="0">ใบส่งของ!$B$5</definedName>
    <definedName name="ColumnTitleRegion1..B11.1">Quotation!$B$5</definedName>
    <definedName name="ColumnTitleRegion2..G14.1" localSheetId="1">'Quotation (2)'!#REF!</definedName>
    <definedName name="ColumnTitleRegion2..G14.1" localSheetId="0">ใบส่งของ!#REF!</definedName>
    <definedName name="ColumnTitleRegion2..G14.1">Quotation!#REF!</definedName>
    <definedName name="RowTitleRegion1..G4" localSheetId="1">'Quotation (2)'!$G$2</definedName>
    <definedName name="RowTitleRegion1..G4" localSheetId="0">ใบส่งของ!$G$2</definedName>
    <definedName name="RowTitleRegion1..G4">Quotation!$G$2</definedName>
    <definedName name="RowTitleRegion2..G7" localSheetId="1">'Quotation (2)'!$G$5</definedName>
    <definedName name="RowTitleRegion2..G7" localSheetId="0">ใบส่งของ!$G$5</definedName>
    <definedName name="RowTitleRegion2..G7">Quotation!$G$5</definedName>
    <definedName name="RowTitleRegion3..D12" localSheetId="1">'Quotation (2)'!#REF!</definedName>
    <definedName name="RowTitleRegion3..D12" localSheetId="0">ใบส่งของ!#REF!</definedName>
    <definedName name="RowTitleRegion3..D12">Quotation!#REF!</definedName>
    <definedName name="RowTitleRegion4..G26" localSheetId="1">'Quotation (2)'!#REF!</definedName>
    <definedName name="RowTitleRegion4..G26" localSheetId="0">ใบส่งของ!#REF!</definedName>
    <definedName name="RowTitleRegion4..G26">Quotation!#REF!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4" l="1"/>
  <c r="H18" i="4"/>
  <c r="H17" i="4"/>
  <c r="H16" i="4"/>
  <c r="H15" i="4"/>
  <c r="H14" i="4"/>
  <c r="H12" i="4"/>
  <c r="H13" i="4"/>
  <c r="H38" i="4" l="1"/>
  <c r="H34" i="5"/>
  <c r="I5" i="2" l="1"/>
  <c r="I6" i="2"/>
  <c r="I7" i="2"/>
  <c r="I8" i="2"/>
  <c r="I9" i="2"/>
  <c r="I10" i="2"/>
  <c r="I11" i="2"/>
  <c r="I12" i="2"/>
  <c r="I13" i="2"/>
  <c r="I14" i="2"/>
  <c r="I15" i="2"/>
  <c r="I16" i="2"/>
  <c r="I17" i="2"/>
  <c r="I18" i="2"/>
  <c r="I19" i="2"/>
  <c r="I20" i="2"/>
  <c r="I21" i="2"/>
  <c r="I22" i="2"/>
  <c r="I23" i="2"/>
  <c r="I24" i="2"/>
  <c r="I25" i="2"/>
  <c r="I4" i="2"/>
  <c r="H8" i="2"/>
  <c r="H9" i="2"/>
  <c r="H10" i="2"/>
  <c r="H11" i="2"/>
  <c r="H12" i="2"/>
  <c r="H13" i="2"/>
  <c r="H14" i="2"/>
  <c r="H15" i="2"/>
  <c r="H16" i="2"/>
  <c r="H17" i="2"/>
  <c r="H18" i="2"/>
  <c r="H19" i="2"/>
  <c r="H20" i="2"/>
  <c r="H21" i="2"/>
  <c r="H22" i="2"/>
  <c r="H23" i="2"/>
  <c r="H24" i="2"/>
  <c r="H25" i="2"/>
  <c r="H5" i="2"/>
  <c r="H6" i="2"/>
  <c r="H7" i="2"/>
  <c r="H4" i="2"/>
  <c r="H26" i="2" l="1"/>
  <c r="I26" i="2"/>
  <c r="H28" i="2" l="1"/>
  <c r="I28" i="2" s="1"/>
  <c r="H34" i="1"/>
</calcChain>
</file>

<file path=xl/sharedStrings.xml><?xml version="1.0" encoding="utf-8"?>
<sst xmlns="http://schemas.openxmlformats.org/spreadsheetml/2006/main" count="114" uniqueCount="69">
  <si>
    <t>Quotation For:</t>
  </si>
  <si>
    <t>44/2 หมู่ 4 ตำบลทับน้ำ อำเภอบางปะหัน จังหวัดพระนครศรีอยุธยา 13220</t>
  </si>
  <si>
    <t>Tel. 0955849800</t>
  </si>
  <si>
    <t>ลำดับ</t>
  </si>
  <si>
    <t>รายการสิ้นค้า</t>
  </si>
  <si>
    <t>จำนวน</t>
  </si>
  <si>
    <t>หน่วย</t>
  </si>
  <si>
    <t>ส่วนลด</t>
  </si>
  <si>
    <t>จำนวนเงิน</t>
  </si>
  <si>
    <t>รวมจำนวนเงิน</t>
  </si>
  <si>
    <t>หมายเหตุ</t>
  </si>
  <si>
    <t>โรงเรียน บางปะอิน "ราชานุเคราะห์ 1"</t>
  </si>
  <si>
    <t>TAX ID.0-9940-00896-27-1   Tel. 035-261178</t>
  </si>
  <si>
    <t>รายการค่าใช้จ่าย</t>
  </si>
  <si>
    <t xml:space="preserve">ราคา 
(บาท)
</t>
  </si>
  <si>
    <t>ภาคเรียนที่ 1</t>
  </si>
  <si>
    <t>ภาคเรียนที่ 2</t>
  </si>
  <si>
    <t>ปูนซีเมนต์</t>
  </si>
  <si>
    <t>ทรายหยาบ</t>
  </si>
  <si>
    <t>กระจกเงา 270 x 297 มม.</t>
  </si>
  <si>
    <t>สติกเกอร์ PVC ขาด 53 x 70 ซม.</t>
  </si>
  <si>
    <t>น้ำยากัดกระจก 500 (ชนิดน้ำ) 500 ML</t>
  </si>
  <si>
    <t>อ่างผสมปูนไนลอน</t>
  </si>
  <si>
    <t>จอบผสมปูน</t>
  </si>
  <si>
    <t xml:space="preserve">ถังปูนเบอร์ 10 </t>
  </si>
  <si>
    <t>เกรียงฉาบปูน</t>
  </si>
  <si>
    <t>ดินน้ำมัน</t>
  </si>
  <si>
    <t>คัตเตอร์ ด้ามปากกา</t>
  </si>
  <si>
    <t>แม่พิมพ์หล่อปูนพลาสเตอร์</t>
  </si>
  <si>
    <t xml:space="preserve">ดินสอ 2B </t>
  </si>
  <si>
    <t xml:space="preserve">กระดาษ A4 80g </t>
  </si>
  <si>
    <t xml:space="preserve">ราคา  (+30%)
(บาท)
</t>
  </si>
  <si>
    <t>ไม้สนนอก</t>
  </si>
  <si>
    <t>สกรูเกลี่ยวปล่อยหัวเรียบ</t>
  </si>
  <si>
    <t>กระดาษทรายกลม 5 นิ้ว 8 รู</t>
  </si>
  <si>
    <t>ปั้มลมโรตารี่ 2.5 แรงม้า 25L</t>
  </si>
  <si>
    <t xml:space="preserve">หมึกปริ้นเตอร์ G2010 สีดำ </t>
  </si>
  <si>
    <t>หมึกปริ้นเตอร์ G2010 สีเหลือง</t>
  </si>
  <si>
    <t>หมึกปริ้นเตอร์ G2010 สีฟ้า</t>
  </si>
  <si>
    <t>หมึกปริ้นเตอร์ G2010 สีแดง</t>
  </si>
  <si>
    <t>ราคา/หน่วย</t>
  </si>
  <si>
    <t>มัด</t>
  </si>
  <si>
    <t>กำไร</t>
  </si>
  <si>
    <t>ยอดรวม
ต้นทุน</t>
  </si>
  <si>
    <t>ยอดรวม
กำไร 30%</t>
  </si>
  <si>
    <t>ใบส่งของ</t>
  </si>
  <si>
    <t>นาย พงศกร สังข์สวัสดิ์</t>
  </si>
  <si>
    <t>ขอแสดงความนับถือ
นาย พงศกร สังข์สวัสดิ์</t>
  </si>
  <si>
    <t>ผู้รับของ
...............................................................</t>
  </si>
  <si>
    <t>214 หมู่ 6 ถ.ปราสาททอง ต.บ้านเลน อ.บางปะอิน 
จ.พระนครศรีอยุธยา 13160</t>
  </si>
  <si>
    <t xml:space="preserve">   </t>
  </si>
  <si>
    <t>โรงเรียนบางปะหัน</t>
  </si>
  <si>
    <t>1 หมู่ 1 ต.บ้านลี่ อ.บางปะหัน 
จ.พระนครศรีอยุธยา 13220</t>
  </si>
  <si>
    <t>TAX ID.0-9940-00213-12-3   Tel. 035-381630</t>
  </si>
  <si>
    <t>(สองพันสองร้อยบาทถ้วน)</t>
  </si>
  <si>
    <t>ใบเสนอราคา</t>
  </si>
  <si>
    <t>ไม้สน หน้า 4 นิ้ว หนา 1 นิ้ว</t>
  </si>
  <si>
    <t>ไม้สน หน้า 3 นิ้ว หนา 1 นิ้ว</t>
  </si>
  <si>
    <t>แผ่น</t>
  </si>
  <si>
    <t>ทินเนอร์ เบอร์ 71 TOA 3.5 ลิตร</t>
  </si>
  <si>
    <t>แกลลอน</t>
  </si>
  <si>
    <t>อัน</t>
  </si>
  <si>
    <t>(ห้าพันบาทถ้วน)</t>
  </si>
  <si>
    <t>อ้างอิง รายการจัดซื้อ  เทอม 2/2568</t>
  </si>
  <si>
    <t>คีมปากจิ้งจก 6 นิ้ว</t>
  </si>
  <si>
    <t>ฉากเหล็ก 12 นิ้ว</t>
  </si>
  <si>
    <t>ฉากเหล็ก (ปรับองศาได้)</t>
  </si>
  <si>
    <t>กระดาษทรายขัดไม้ เบอร์ 5</t>
  </si>
  <si>
    <t>กระดาษทรายขัดไม้ เบอร์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</si>
</sst>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lt;=9999999]###\-####;\(###\)\ ###\-####"/>
  </numFmts>
  <fonts count="23" x14ac:knownFonts="1">
    <font>
      <sz val="11"/>
      <name val="Arial"/>
      <family val="2"/>
      <scheme val="minor"/>
    </font>
    <font>
      <b/>
      <sz val="10"/>
      <name val="Arial"/>
      <family val="2"/>
    </font>
    <font>
      <sz val="28"/>
      <color theme="1" tint="0.499984740745262"/>
      <name val="Arial"/>
      <family val="2"/>
      <scheme val="major"/>
    </font>
    <font>
      <sz val="11"/>
      <name val="Arial"/>
      <family val="2"/>
      <scheme val="minor"/>
    </font>
    <font>
      <b/>
      <sz val="18"/>
      <color theme="1" tint="0.24994659260841701"/>
      <name val="Arial"/>
      <family val="2"/>
      <scheme val="minor"/>
    </font>
    <font>
      <b/>
      <sz val="11"/>
      <name val="Arial"/>
      <family val="2"/>
      <scheme val="minor"/>
    </font>
    <font>
      <i/>
      <sz val="11"/>
      <name val="Arial"/>
      <family val="2"/>
      <scheme val="minor"/>
    </font>
    <font>
      <sz val="10"/>
      <name val="Arial"/>
      <family val="2"/>
    </font>
    <font>
      <b/>
      <sz val="11"/>
      <name val="Calibri"/>
      <family val="2"/>
    </font>
    <font>
      <b/>
      <sz val="16"/>
      <color theme="1" tint="0.24994659260841701"/>
      <name val="Calibri"/>
      <family val="2"/>
    </font>
    <font>
      <b/>
      <sz val="14"/>
      <name val="Calibri"/>
      <family val="2"/>
    </font>
    <font>
      <b/>
      <sz val="12"/>
      <name val="Calibri"/>
      <family val="2"/>
    </font>
    <font>
      <sz val="12"/>
      <name val="Calibri"/>
      <family val="2"/>
    </font>
    <font>
      <i/>
      <sz val="12"/>
      <name val="Calibri"/>
      <family val="2"/>
    </font>
    <font>
      <b/>
      <u/>
      <sz val="14"/>
      <name val="Calibri"/>
      <family val="2"/>
    </font>
    <font>
      <sz val="11"/>
      <name val="Arial Narrow"/>
      <family val="2"/>
    </font>
    <font>
      <b/>
      <u/>
      <sz val="14"/>
      <color rgb="FF0000FF"/>
      <name val="Arial Narrow"/>
      <family val="2"/>
    </font>
    <font>
      <b/>
      <sz val="11"/>
      <color rgb="FFFF0000"/>
      <name val="Arial Narrow"/>
      <family val="2"/>
    </font>
    <font>
      <sz val="12"/>
      <name val="Arial"/>
      <family val="2"/>
      <scheme val="minor"/>
    </font>
    <font>
      <sz val="12"/>
      <name val="Arial Narrow"/>
      <family val="2"/>
    </font>
    <font>
      <sz val="11"/>
      <name val="Calibri"/>
      <family val="2"/>
    </font>
    <font>
      <b/>
      <sz val="24"/>
      <name val="Calibri"/>
      <family val="2"/>
    </font>
    <font>
      <b/>
      <sz val="16"/>
      <name val="Calibri"/>
      <family val="2"/>
    </font>
  </fonts>
  <fills count="3">
    <fill>
      <patternFill patternType="none"/>
    </fill>
    <fill>
      <patternFill patternType="gray125"/>
    </fill>
    <fill>
      <patternFill patternType="solid">
        <fgColor theme="0" tint="-4.9989318521683403E-2"/>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3">
    <xf numFmtId="0" fontId="0" fillId="0" borderId="0">
      <alignment horizontal="left" vertical="center" wrapText="1"/>
    </xf>
    <xf numFmtId="3" fontId="3" fillId="0" borderId="0" applyFont="0" applyFill="0" applyBorder="0">
      <alignment horizontal="center" vertical="center"/>
    </xf>
    <xf numFmtId="44" fontId="7" fillId="0" borderId="0" applyFont="0" applyFill="0" applyBorder="0" applyProtection="0">
      <alignment horizontal="right" vertical="center"/>
    </xf>
    <xf numFmtId="10" fontId="7" fillId="0" borderId="0" applyFont="0" applyFill="0" applyBorder="0" applyProtection="0">
      <alignment horizontal="right" vertical="center"/>
    </xf>
    <xf numFmtId="0" fontId="2" fillId="0" borderId="0">
      <alignment horizontal="right"/>
    </xf>
    <xf numFmtId="0" fontId="4" fillId="0" borderId="0"/>
    <xf numFmtId="0" fontId="6" fillId="0" borderId="0">
      <alignment horizontal="right"/>
    </xf>
    <xf numFmtId="0" fontId="5" fillId="0" borderId="0">
      <alignment vertical="top"/>
    </xf>
    <xf numFmtId="0" fontId="5" fillId="0" borderId="0">
      <alignment horizontal="right" vertical="center"/>
    </xf>
    <xf numFmtId="0" fontId="3" fillId="0" borderId="1">
      <alignment horizontal="center" vertical="center" wrapText="1"/>
    </xf>
    <xf numFmtId="0" fontId="5" fillId="0" borderId="0">
      <alignment horizontal="center" wrapText="1"/>
    </xf>
    <xf numFmtId="0" fontId="6" fillId="0" borderId="0">
      <alignment horizontal="left" vertical="top" wrapText="1"/>
    </xf>
    <xf numFmtId="0" fontId="3" fillId="0" borderId="0">
      <alignment horizontal="right" vertical="center" indent="1"/>
    </xf>
    <xf numFmtId="164" fontId="3" fillId="0" borderId="0" applyFont="0" applyFill="0" applyBorder="0">
      <alignment horizontal="left" vertical="top"/>
    </xf>
    <xf numFmtId="0" fontId="5" fillId="0" borderId="0">
      <alignment horizontal="right"/>
    </xf>
    <xf numFmtId="0" fontId="3" fillId="2" borderId="1">
      <alignment horizontal="center" vertical="center"/>
    </xf>
    <xf numFmtId="49" fontId="3" fillId="0" borderId="0" applyFont="0" applyFill="0" applyBorder="0">
      <alignment horizontal="center" vertical="center" wrapText="1"/>
    </xf>
    <xf numFmtId="0" fontId="3" fillId="0" borderId="2" applyNumberFormat="0" applyFont="0" applyFill="0" applyAlignment="0">
      <alignment horizontal="left" vertical="center" wrapText="1"/>
    </xf>
    <xf numFmtId="14" fontId="3" fillId="0" borderId="0" applyFont="0" applyFill="0" applyBorder="0">
      <alignment horizontal="center" vertical="center"/>
    </xf>
    <xf numFmtId="0" fontId="3" fillId="0" borderId="0">
      <alignment horizontal="left" vertical="center" wrapText="1"/>
    </xf>
    <xf numFmtId="0" fontId="3" fillId="0" borderId="0">
      <alignment horizontal="left" vertical="center" wrapText="1"/>
    </xf>
    <xf numFmtId="14" fontId="3" fillId="0" borderId="0">
      <alignment horizontal="left"/>
    </xf>
    <xf numFmtId="0" fontId="3" fillId="0" borderId="0" applyNumberFormat="0" applyFont="0" applyFill="0" applyBorder="0">
      <alignment horizontal="left" wrapText="1"/>
    </xf>
  </cellStyleXfs>
  <cellXfs count="78">
    <xf numFmtId="0" fontId="0" fillId="0" borderId="0" xfId="0">
      <alignment horizontal="left" vertical="center" wrapText="1"/>
    </xf>
    <xf numFmtId="0" fontId="6" fillId="0" borderId="0" xfId="11">
      <alignment horizontal="left" vertical="top" wrapText="1"/>
    </xf>
    <xf numFmtId="0" fontId="0" fillId="0" borderId="0" xfId="0">
      <alignment horizontal="left" vertical="center" wrapText="1"/>
    </xf>
    <xf numFmtId="0" fontId="0" fillId="0" borderId="0" xfId="0">
      <alignment horizontal="left" vertical="center" wrapText="1"/>
    </xf>
    <xf numFmtId="14" fontId="12" fillId="0" borderId="0" xfId="21" applyFont="1">
      <alignment horizontal="left"/>
    </xf>
    <xf numFmtId="0" fontId="11" fillId="0" borderId="0" xfId="8" applyFont="1">
      <alignment horizontal="right" vertical="center"/>
    </xf>
    <xf numFmtId="0" fontId="12" fillId="0" borderId="0" xfId="0" applyFont="1">
      <alignment horizontal="left" vertical="center" wrapText="1"/>
    </xf>
    <xf numFmtId="0" fontId="13" fillId="0" borderId="0" xfId="6" applyFont="1">
      <alignment horizontal="right"/>
    </xf>
    <xf numFmtId="0" fontId="12" fillId="0" borderId="0" xfId="22" applyFont="1">
      <alignment horizontal="left" wrapText="1"/>
    </xf>
    <xf numFmtId="0" fontId="11" fillId="0" borderId="3" xfId="0" applyFont="1" applyBorder="1" applyAlignment="1">
      <alignment horizontal="center" vertical="center" wrapText="1"/>
    </xf>
    <xf numFmtId="0" fontId="8" fillId="0" borderId="0" xfId="0" applyFont="1">
      <alignment horizontal="left" vertical="center" wrapText="1"/>
    </xf>
    <xf numFmtId="0" fontId="9" fillId="0" borderId="0" xfId="5" applyFont="1"/>
    <xf numFmtId="0" fontId="8" fillId="0" borderId="0" xfId="11" applyFont="1">
      <alignment horizontal="left" vertical="top" wrapText="1"/>
    </xf>
    <xf numFmtId="0" fontId="8" fillId="0" borderId="0" xfId="0" applyFont="1">
      <alignment horizontal="left" vertical="center" wrapText="1"/>
    </xf>
    <xf numFmtId="0" fontId="12" fillId="0" borderId="0" xfId="0" applyFont="1">
      <alignment horizontal="left" vertical="center" wrapText="1"/>
    </xf>
    <xf numFmtId="0" fontId="14" fillId="0" borderId="0" xfId="7" applyFont="1">
      <alignment vertical="top"/>
    </xf>
    <xf numFmtId="0" fontId="8" fillId="0" borderId="0" xfId="22" applyFont="1">
      <alignment horizontal="left" wrapText="1"/>
    </xf>
    <xf numFmtId="0" fontId="15" fillId="0" borderId="0" xfId="0" applyFont="1" applyAlignment="1">
      <alignment horizontal="center" vertical="center" wrapText="1"/>
    </xf>
    <xf numFmtId="0" fontId="15" fillId="0" borderId="0" xfId="0" applyFont="1">
      <alignment horizontal="left" vertical="center" wrapText="1"/>
    </xf>
    <xf numFmtId="0" fontId="15" fillId="0" borderId="0" xfId="0" applyFont="1" applyAlignment="1">
      <alignment horizontal="left" vertical="center" wrapText="1"/>
    </xf>
    <xf numFmtId="0" fontId="15" fillId="0" borderId="0" xfId="0" applyFont="1" applyAlignment="1">
      <alignment horizontal="right" vertical="center" wrapText="1"/>
    </xf>
    <xf numFmtId="3" fontId="15" fillId="0" borderId="0" xfId="0" applyNumberFormat="1" applyFont="1" applyAlignment="1">
      <alignment horizontal="right" vertical="center" wrapText="1"/>
    </xf>
    <xf numFmtId="3" fontId="16" fillId="0" borderId="0" xfId="0" applyNumberFormat="1" applyFont="1" applyAlignment="1">
      <alignment horizontal="right" vertical="center" wrapText="1"/>
    </xf>
    <xf numFmtId="9" fontId="15" fillId="0" borderId="0" xfId="3" applyNumberFormat="1" applyFont="1" applyAlignment="1">
      <alignment horizontal="center" vertical="center"/>
    </xf>
    <xf numFmtId="0" fontId="15" fillId="0" borderId="3" xfId="0" applyFont="1" applyBorder="1" applyAlignment="1">
      <alignment horizontal="center" vertical="center" wrapText="1"/>
    </xf>
    <xf numFmtId="0" fontId="15" fillId="0" borderId="3" xfId="0" applyFont="1" applyBorder="1" applyAlignment="1">
      <alignment horizontal="center" vertical="top" wrapText="1"/>
    </xf>
    <xf numFmtId="0" fontId="15" fillId="0" borderId="3" xfId="0" applyFont="1" applyBorder="1" applyAlignment="1">
      <alignment horizontal="right" vertical="center" wrapText="1"/>
    </xf>
    <xf numFmtId="0" fontId="15" fillId="0" borderId="3" xfId="0" applyFont="1" applyBorder="1">
      <alignment horizontal="left" vertical="center" wrapText="1"/>
    </xf>
    <xf numFmtId="3" fontId="15" fillId="0" borderId="3" xfId="0" applyNumberFormat="1" applyFont="1" applyBorder="1" applyAlignment="1">
      <alignment horizontal="right" vertical="center" wrapText="1"/>
    </xf>
    <xf numFmtId="0" fontId="17" fillId="0" borderId="3" xfId="0" applyFont="1" applyBorder="1" applyAlignment="1">
      <alignment horizontal="right" vertical="center" wrapText="1"/>
    </xf>
    <xf numFmtId="0" fontId="19" fillId="0" borderId="0" xfId="0" applyFont="1" applyAlignment="1">
      <alignment horizontal="right" vertical="center" wrapText="1"/>
    </xf>
    <xf numFmtId="0" fontId="19" fillId="0" borderId="0" xfId="0" applyFont="1">
      <alignment horizontal="left" vertical="center" wrapText="1"/>
    </xf>
    <xf numFmtId="3" fontId="19" fillId="0" borderId="0" xfId="0" applyNumberFormat="1" applyFont="1" applyAlignment="1">
      <alignment horizontal="right" vertical="center" wrapText="1"/>
    </xf>
    <xf numFmtId="9" fontId="19" fillId="0" borderId="0" xfId="3" applyNumberFormat="1" applyFont="1" applyAlignment="1">
      <alignment horizontal="center" vertical="center"/>
    </xf>
    <xf numFmtId="0" fontId="20" fillId="0" borderId="3" xfId="0" applyFont="1" applyBorder="1" applyAlignment="1">
      <alignment horizontal="center" vertical="center" wrapText="1"/>
    </xf>
    <xf numFmtId="0" fontId="20" fillId="0" borderId="3" xfId="0" applyFont="1" applyBorder="1" applyAlignment="1">
      <alignment vertical="center"/>
    </xf>
    <xf numFmtId="2" fontId="20" fillId="0" borderId="3" xfId="0" applyNumberFormat="1" applyFont="1" applyBorder="1" applyAlignment="1">
      <alignment horizontal="right" vertical="center" wrapText="1"/>
    </xf>
    <xf numFmtId="0" fontId="20" fillId="0" borderId="3" xfId="0" applyFont="1" applyBorder="1" applyAlignment="1">
      <alignment vertical="top" wrapText="1"/>
    </xf>
    <xf numFmtId="4" fontId="20" fillId="0" borderId="3" xfId="0" applyNumberFormat="1" applyFont="1" applyBorder="1" applyAlignment="1">
      <alignment vertical="center" wrapText="1"/>
    </xf>
    <xf numFmtId="0" fontId="20" fillId="0" borderId="3" xfId="0" applyFont="1" applyBorder="1" applyAlignment="1">
      <alignment vertical="center" wrapText="1"/>
    </xf>
    <xf numFmtId="0" fontId="8" fillId="0" borderId="0" xfId="11" applyFont="1">
      <alignment horizontal="left" vertical="top" wrapText="1"/>
    </xf>
    <xf numFmtId="0" fontId="8" fillId="0" borderId="0" xfId="0" applyFont="1">
      <alignment horizontal="left" vertical="center" wrapText="1"/>
    </xf>
    <xf numFmtId="0" fontId="12" fillId="0" borderId="0" xfId="0" applyFont="1">
      <alignment horizontal="left" vertical="center" wrapText="1"/>
    </xf>
    <xf numFmtId="0" fontId="14" fillId="0" borderId="0" xfId="7" applyFont="1">
      <alignment vertical="top"/>
    </xf>
    <xf numFmtId="0" fontId="8" fillId="0" borderId="0" xfId="22" applyFont="1">
      <alignment horizontal="left" wrapText="1"/>
    </xf>
    <xf numFmtId="4" fontId="20" fillId="0" borderId="7" xfId="0" applyNumberFormat="1" applyFont="1" applyBorder="1" applyAlignment="1">
      <alignment vertical="center" wrapText="1"/>
    </xf>
    <xf numFmtId="0" fontId="15" fillId="0" borderId="3" xfId="0" applyFont="1" applyBorder="1" applyAlignment="1">
      <alignment horizontal="center" vertical="center" wrapText="1"/>
    </xf>
    <xf numFmtId="0" fontId="12" fillId="0" borderId="0" xfId="0" applyFont="1">
      <alignment horizontal="left" vertical="center" wrapText="1"/>
    </xf>
    <xf numFmtId="0" fontId="8" fillId="0" borderId="0" xfId="11" applyFont="1">
      <alignment horizontal="left" vertical="top" wrapText="1"/>
    </xf>
    <xf numFmtId="0" fontId="8" fillId="0" borderId="0" xfId="0" applyFont="1">
      <alignment horizontal="left" vertical="center" wrapText="1"/>
    </xf>
    <xf numFmtId="0" fontId="14" fillId="0" borderId="0" xfId="7" applyFont="1">
      <alignment vertical="top"/>
    </xf>
    <xf numFmtId="0" fontId="8" fillId="0" borderId="0" xfId="22" applyFont="1">
      <alignment horizontal="left" wrapText="1"/>
    </xf>
    <xf numFmtId="0" fontId="0" fillId="0" borderId="0" xfId="0" applyAlignment="1">
      <alignment horizontal="left"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4" fontId="10" fillId="0" borderId="7" xfId="0" applyNumberFormat="1" applyFont="1" applyBorder="1" applyAlignment="1">
      <alignment horizontal="right" vertical="center" wrapText="1"/>
    </xf>
    <xf numFmtId="4" fontId="10" fillId="0" borderId="8" xfId="0" applyNumberFormat="1" applyFont="1" applyBorder="1" applyAlignment="1">
      <alignment horizontal="right" vertical="center" wrapText="1"/>
    </xf>
    <xf numFmtId="0" fontId="18" fillId="0" borderId="3" xfId="0" applyFont="1" applyBorder="1" applyAlignment="1">
      <alignment horizontal="center" vertical="center" wrapText="1"/>
    </xf>
    <xf numFmtId="0" fontId="11" fillId="0" borderId="0" xfId="0" applyFont="1" applyAlignment="1">
      <alignment horizontal="center" vertical="center"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14" fillId="0" borderId="0" xfId="7" applyFont="1">
      <alignment vertical="top"/>
    </xf>
    <xf numFmtId="0" fontId="8" fillId="0" borderId="0" xfId="22" applyFont="1">
      <alignment horizontal="left" wrapText="1"/>
    </xf>
    <xf numFmtId="0" fontId="8" fillId="0" borderId="0" xfId="0" applyFont="1">
      <alignment horizontal="left" vertical="center" wrapText="1"/>
    </xf>
    <xf numFmtId="0" fontId="8" fillId="0" borderId="0" xfId="0" applyFont="1" applyAlignment="1">
      <alignment horizontal="left" vertical="center" wrapText="1"/>
    </xf>
    <xf numFmtId="0" fontId="12" fillId="0" borderId="0" xfId="0" applyFont="1">
      <alignment horizontal="left" vertical="center" wrapText="1"/>
    </xf>
    <xf numFmtId="0" fontId="22" fillId="0" borderId="0" xfId="5" applyFont="1"/>
    <xf numFmtId="0" fontId="21" fillId="0" borderId="0" xfId="4" applyFont="1" applyAlignment="1">
      <alignment horizontal="center"/>
    </xf>
    <xf numFmtId="0" fontId="8" fillId="0" borderId="0" xfId="11" applyFont="1">
      <alignment horizontal="left" vertical="top" wrapText="1"/>
    </xf>
    <xf numFmtId="0" fontId="11" fillId="0" borderId="0" xfId="14" applyFont="1" applyAlignment="1">
      <alignment horizontal="center"/>
    </xf>
    <xf numFmtId="0" fontId="11" fillId="0" borderId="12" xfId="0" applyFont="1" applyBorder="1" applyAlignment="1">
      <alignment horizontal="center" vertical="center" wrapText="1"/>
    </xf>
    <xf numFmtId="4" fontId="10" fillId="0" borderId="12" xfId="0" applyNumberFormat="1" applyFont="1" applyBorder="1" applyAlignment="1">
      <alignment horizontal="right" vertical="center"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15" fillId="0" borderId="3" xfId="0" applyFont="1" applyBorder="1" applyAlignment="1">
      <alignment horizontal="center" vertical="center" wrapText="1"/>
    </xf>
    <xf numFmtId="0" fontId="22" fillId="0" borderId="0" xfId="5" applyFont="1" applyFill="1" applyAlignment="1">
      <alignment horizontal="left"/>
    </xf>
  </cellXfs>
  <cellStyles count="23">
    <cellStyle name="Comma" xfId="1" builtinId="3" customBuiltin="1"/>
    <cellStyle name="Currency" xfId="2" builtinId="4" customBuiltin="1"/>
    <cellStyle name="Custom Field" xfId="17" xr:uid="{00000000-0005-0000-0000-000002000000}"/>
    <cellStyle name="Date" xfId="21" xr:uid="{00000000-0005-0000-0000-000003000000}"/>
    <cellStyle name="Date label" xfId="14" xr:uid="{00000000-0005-0000-0000-000004000000}"/>
    <cellStyle name="Explanatory Text" xfId="11" builtinId="53" customBuiltin="1"/>
    <cellStyle name="Followed Hyperlink" xfId="20" builtinId="9" customBuiltin="1"/>
    <cellStyle name="Heading 1" xfId="5" builtinId="16" customBuiltin="1"/>
    <cellStyle name="Heading 2" xfId="6" builtinId="17" customBuiltin="1"/>
    <cellStyle name="Heading 3" xfId="7" builtinId="18" customBuiltin="1"/>
    <cellStyle name="Heading 4" xfId="8" builtinId="19" customBuiltin="1"/>
    <cellStyle name="Hyperlink" xfId="19" builtinId="8" customBuiltin="1"/>
    <cellStyle name="Input" xfId="9" builtinId="20" customBuiltin="1"/>
    <cellStyle name="Name" xfId="22" xr:uid="{00000000-0005-0000-0000-00000D000000}"/>
    <cellStyle name="Normal" xfId="0" builtinId="0" customBuiltin="1"/>
    <cellStyle name="Note" xfId="10" builtinId="10" customBuiltin="1"/>
    <cellStyle name="Percent" xfId="3" builtinId="5" customBuiltin="1"/>
    <cellStyle name="Phone" xfId="13" xr:uid="{00000000-0005-0000-0000-000011000000}"/>
    <cellStyle name="Shipping Date" xfId="18" xr:uid="{00000000-0005-0000-0000-000012000000}"/>
    <cellStyle name="Shipping Details" xfId="15" xr:uid="{00000000-0005-0000-0000-000013000000}"/>
    <cellStyle name="Taxable?" xfId="16" xr:uid="{00000000-0005-0000-0000-000014000000}"/>
    <cellStyle name="Title" xfId="4" builtinId="15" customBuiltin="1"/>
    <cellStyle name="Total" xfId="12" builtinId="25" customBuiltin="1"/>
  </cellStyles>
  <dxfs count="5">
    <dxf>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border diagonalUp="0" diagonalDown="0">
        <left/>
        <right/>
        <top style="thin">
          <color theme="0" tint="-0.34998626667073579"/>
        </top>
        <bottom/>
        <vertical/>
        <horizontal/>
      </border>
    </dxf>
    <dxf>
      <font>
        <b/>
        <i val="0"/>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1" defaultTableStyle="Price quote with tax calculation" defaultPivotStyle="PivotStyleLight16">
    <tableStyle name="Price quote with tax calculation" pivot="0" count="5" xr9:uid="{00000000-0011-0000-FFFF-FFFF00000000}">
      <tableStyleElement type="wholeTable" dxfId="4"/>
      <tableStyleElement type="headerRow" dxfId="3"/>
      <tableStyleElement type="totalRow" dxfId="2"/>
      <tableStyleElement type="lastColumn" dxfId="1"/>
      <tableStyleElement type="lastTotalCell"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D8E4E8"/>
      <rgbColor rgb="0099CCFF"/>
      <rgbColor rgb="00EAEAEA"/>
      <rgbColor rgb="00CC99FF"/>
      <rgbColor rgb="00F1F2D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pageSetUpPr fitToPage="1"/>
  </sheetPr>
  <dimension ref="A1:H38"/>
  <sheetViews>
    <sheetView showGridLines="0" zoomScale="115" zoomScaleNormal="115" workbookViewId="0">
      <selection activeCell="M24" sqref="M24"/>
    </sheetView>
  </sheetViews>
  <sheetFormatPr defaultColWidth="9" defaultRowHeight="30" customHeight="1" x14ac:dyDescent="0.2"/>
  <cols>
    <col min="1" max="1" width="1.625" style="3" customWidth="1"/>
    <col min="2" max="2" width="6.375" style="3" customWidth="1"/>
    <col min="3" max="3" width="30.25" style="3" customWidth="1"/>
    <col min="4" max="4" width="10.125" style="3" customWidth="1"/>
    <col min="5" max="5" width="8.125" style="3" customWidth="1"/>
    <col min="6" max="6" width="11.75" style="3" customWidth="1"/>
    <col min="7" max="7" width="14.5" style="3" customWidth="1"/>
    <col min="8" max="8" width="14" style="3" customWidth="1"/>
    <col min="9" max="9" width="2.625" style="3" customWidth="1"/>
    <col min="10" max="16384" width="9" style="3"/>
  </cols>
  <sheetData>
    <row r="1" spans="1:8" ht="36" customHeight="1" x14ac:dyDescent="0.5">
      <c r="A1" s="1"/>
      <c r="B1" s="67" t="s">
        <v>46</v>
      </c>
      <c r="C1" s="67"/>
      <c r="D1" s="67"/>
      <c r="E1" s="67"/>
      <c r="F1" s="11"/>
      <c r="G1" s="68" t="s">
        <v>45</v>
      </c>
      <c r="H1" s="68"/>
    </row>
    <row r="2" spans="1:8" ht="17.25" customHeight="1" x14ac:dyDescent="0.25">
      <c r="B2" s="69" t="s">
        <v>1</v>
      </c>
      <c r="C2" s="69"/>
      <c r="D2" s="69"/>
      <c r="E2" s="69"/>
      <c r="F2" s="48"/>
      <c r="G2" s="70"/>
      <c r="H2" s="70"/>
    </row>
    <row r="3" spans="1:8" ht="15" customHeight="1" x14ac:dyDescent="0.2">
      <c r="B3" s="64" t="s">
        <v>2</v>
      </c>
      <c r="C3" s="64"/>
      <c r="D3" s="64"/>
      <c r="E3" s="64"/>
      <c r="F3" s="49"/>
      <c r="G3" s="5"/>
      <c r="H3" s="47"/>
    </row>
    <row r="4" spans="1:8" ht="15" customHeight="1" x14ac:dyDescent="0.2">
      <c r="B4" s="66"/>
      <c r="C4" s="66"/>
      <c r="D4" s="66"/>
      <c r="E4" s="66"/>
      <c r="F4" s="47"/>
      <c r="G4" s="5"/>
      <c r="H4" s="47"/>
    </row>
    <row r="5" spans="1:8" ht="23.25" customHeight="1" x14ac:dyDescent="0.25">
      <c r="B5" s="62" t="s">
        <v>0</v>
      </c>
      <c r="C5" s="62"/>
      <c r="D5" s="62"/>
      <c r="E5" s="62"/>
      <c r="F5" s="50"/>
      <c r="G5" s="7"/>
      <c r="H5" s="4"/>
    </row>
    <row r="6" spans="1:8" ht="17.25" customHeight="1" x14ac:dyDescent="0.25">
      <c r="B6" s="63" t="s">
        <v>51</v>
      </c>
      <c r="C6" s="63"/>
      <c r="D6" s="63"/>
      <c r="E6" s="63"/>
      <c r="F6" s="51"/>
      <c r="G6" s="7"/>
      <c r="H6" s="8"/>
    </row>
    <row r="7" spans="1:8" ht="25.5" customHeight="1" x14ac:dyDescent="0.25">
      <c r="B7" s="64" t="s">
        <v>52</v>
      </c>
      <c r="C7" s="64"/>
      <c r="D7" s="64"/>
      <c r="E7" s="64"/>
      <c r="F7" s="49"/>
      <c r="G7" s="7"/>
      <c r="H7" s="47"/>
    </row>
    <row r="8" spans="1:8" ht="22.5" customHeight="1" x14ac:dyDescent="0.25">
      <c r="B8" s="65" t="s">
        <v>53</v>
      </c>
      <c r="C8" s="65"/>
      <c r="D8" s="49"/>
      <c r="E8" s="49"/>
      <c r="F8" s="49"/>
      <c r="G8" s="7"/>
      <c r="H8" s="47"/>
    </row>
    <row r="9" spans="1:8" ht="15.75" customHeight="1" x14ac:dyDescent="0.2">
      <c r="B9" s="64"/>
      <c r="C9" s="64"/>
      <c r="D9" s="64"/>
      <c r="E9" s="64"/>
      <c r="F9" s="49"/>
      <c r="G9" s="47"/>
      <c r="H9" s="47"/>
    </row>
    <row r="10" spans="1:8" ht="15.75" customHeight="1" x14ac:dyDescent="0.2">
      <c r="B10" s="49"/>
      <c r="C10" s="49"/>
      <c r="D10" s="49"/>
      <c r="E10" s="49"/>
      <c r="F10" s="49"/>
      <c r="G10" s="47"/>
      <c r="H10" s="47"/>
    </row>
    <row r="11" spans="1:8" ht="30" customHeight="1" x14ac:dyDescent="0.2">
      <c r="B11" s="9" t="s">
        <v>3</v>
      </c>
      <c r="C11" s="9" t="s">
        <v>4</v>
      </c>
      <c r="D11" s="9" t="s">
        <v>5</v>
      </c>
      <c r="E11" s="9" t="s">
        <v>6</v>
      </c>
      <c r="F11" s="9" t="s">
        <v>40</v>
      </c>
      <c r="G11" s="9" t="s">
        <v>7</v>
      </c>
      <c r="H11" s="9" t="s">
        <v>8</v>
      </c>
    </row>
    <row r="12" spans="1:8" ht="20.25" customHeight="1" x14ac:dyDescent="0.2">
      <c r="B12" s="34">
        <v>1</v>
      </c>
      <c r="C12" s="35" t="s">
        <v>32</v>
      </c>
      <c r="D12" s="36">
        <v>4</v>
      </c>
      <c r="E12" s="34" t="s">
        <v>41</v>
      </c>
      <c r="F12" s="36">
        <v>550</v>
      </c>
      <c r="G12" s="37"/>
      <c r="H12" s="38">
        <v>2200</v>
      </c>
    </row>
    <row r="13" spans="1:8" ht="20.25" customHeight="1" x14ac:dyDescent="0.2">
      <c r="B13" s="34"/>
      <c r="C13" s="35"/>
      <c r="D13" s="36"/>
      <c r="E13" s="34"/>
      <c r="F13" s="36"/>
      <c r="G13" s="37"/>
      <c r="H13" s="38"/>
    </row>
    <row r="14" spans="1:8" ht="20.25" customHeight="1" x14ac:dyDescent="0.2">
      <c r="B14" s="34"/>
      <c r="C14" s="35"/>
      <c r="D14" s="36"/>
      <c r="E14" s="34"/>
      <c r="F14" s="36"/>
      <c r="G14" s="37"/>
      <c r="H14" s="38"/>
    </row>
    <row r="15" spans="1:8" ht="20.25" customHeight="1" x14ac:dyDescent="0.2">
      <c r="B15" s="34"/>
      <c r="C15" s="35"/>
      <c r="D15" s="36"/>
      <c r="E15" s="34"/>
      <c r="F15" s="36"/>
      <c r="G15" s="37"/>
      <c r="H15" s="38"/>
    </row>
    <row r="16" spans="1:8" ht="20.25" customHeight="1" x14ac:dyDescent="0.2">
      <c r="B16" s="34"/>
      <c r="C16" s="35"/>
      <c r="D16" s="36"/>
      <c r="E16" s="34"/>
      <c r="F16" s="36"/>
      <c r="G16" s="37"/>
      <c r="H16" s="38"/>
    </row>
    <row r="17" spans="2:8" ht="20.25" customHeight="1" x14ac:dyDescent="0.2">
      <c r="B17" s="34"/>
      <c r="C17" s="35"/>
      <c r="D17" s="36"/>
      <c r="E17" s="34"/>
      <c r="F17" s="36"/>
      <c r="G17" s="37"/>
      <c r="H17" s="38"/>
    </row>
    <row r="18" spans="2:8" ht="20.25" customHeight="1" x14ac:dyDescent="0.2">
      <c r="B18" s="34"/>
      <c r="C18" s="35"/>
      <c r="D18" s="36"/>
      <c r="E18" s="34"/>
      <c r="F18" s="36"/>
      <c r="G18" s="37"/>
      <c r="H18" s="38"/>
    </row>
    <row r="19" spans="2:8" ht="20.25" customHeight="1" x14ac:dyDescent="0.2">
      <c r="B19" s="34"/>
      <c r="C19" s="35"/>
      <c r="D19" s="36"/>
      <c r="E19" s="34"/>
      <c r="F19" s="36"/>
      <c r="G19" s="37"/>
      <c r="H19" s="38"/>
    </row>
    <row r="20" spans="2:8" ht="20.25" customHeight="1" x14ac:dyDescent="0.2">
      <c r="B20" s="34"/>
      <c r="C20" s="35"/>
      <c r="D20" s="36"/>
      <c r="E20" s="34"/>
      <c r="F20" s="36"/>
      <c r="G20" s="37"/>
      <c r="H20" s="38"/>
    </row>
    <row r="21" spans="2:8" ht="20.25" customHeight="1" x14ac:dyDescent="0.2">
      <c r="B21" s="34"/>
      <c r="C21" s="35"/>
      <c r="D21" s="36"/>
      <c r="E21" s="34"/>
      <c r="F21" s="36"/>
      <c r="G21" s="37"/>
      <c r="H21" s="38"/>
    </row>
    <row r="22" spans="2:8" ht="20.25" customHeight="1" x14ac:dyDescent="0.2">
      <c r="B22" s="34"/>
      <c r="C22" s="35"/>
      <c r="D22" s="36"/>
      <c r="E22" s="34"/>
      <c r="F22" s="36"/>
      <c r="G22" s="37"/>
      <c r="H22" s="38"/>
    </row>
    <row r="23" spans="2:8" ht="20.25" customHeight="1" x14ac:dyDescent="0.2">
      <c r="B23" s="34"/>
      <c r="C23" s="35"/>
      <c r="D23" s="36"/>
      <c r="E23" s="34"/>
      <c r="F23" s="36"/>
      <c r="G23" s="37"/>
      <c r="H23" s="38"/>
    </row>
    <row r="24" spans="2:8" ht="20.25" customHeight="1" x14ac:dyDescent="0.2">
      <c r="B24" s="34"/>
      <c r="C24" s="35"/>
      <c r="D24" s="36"/>
      <c r="E24" s="34"/>
      <c r="F24" s="36"/>
      <c r="G24" s="37"/>
      <c r="H24" s="38"/>
    </row>
    <row r="25" spans="2:8" ht="20.25" customHeight="1" x14ac:dyDescent="0.2">
      <c r="B25" s="34"/>
      <c r="C25" s="35"/>
      <c r="D25" s="36"/>
      <c r="E25" s="34"/>
      <c r="F25" s="36"/>
      <c r="G25" s="37"/>
      <c r="H25" s="38"/>
    </row>
    <row r="26" spans="2:8" ht="20.25" customHeight="1" x14ac:dyDescent="0.2">
      <c r="B26" s="34"/>
      <c r="C26" s="35"/>
      <c r="D26" s="36"/>
      <c r="E26" s="34"/>
      <c r="F26" s="36"/>
      <c r="G26" s="37"/>
      <c r="H26" s="38"/>
    </row>
    <row r="27" spans="2:8" ht="20.25" customHeight="1" x14ac:dyDescent="0.2">
      <c r="B27" s="34"/>
      <c r="C27" s="35"/>
      <c r="D27" s="36"/>
      <c r="E27" s="34"/>
      <c r="F27" s="36"/>
      <c r="G27" s="37"/>
      <c r="H27" s="38"/>
    </row>
    <row r="28" spans="2:8" ht="20.25" customHeight="1" x14ac:dyDescent="0.2">
      <c r="B28" s="34"/>
      <c r="C28" s="35"/>
      <c r="D28" s="36"/>
      <c r="E28" s="34"/>
      <c r="F28" s="36"/>
      <c r="G28" s="37"/>
      <c r="H28" s="38"/>
    </row>
    <row r="29" spans="2:8" ht="20.25" customHeight="1" x14ac:dyDescent="0.2">
      <c r="B29" s="34"/>
      <c r="C29" s="35"/>
      <c r="D29" s="36"/>
      <c r="E29" s="34"/>
      <c r="F29" s="36"/>
      <c r="G29" s="37"/>
      <c r="H29" s="38"/>
    </row>
    <row r="30" spans="2:8" ht="20.25" customHeight="1" x14ac:dyDescent="0.2">
      <c r="B30" s="34"/>
      <c r="C30" s="35"/>
      <c r="D30" s="36"/>
      <c r="E30" s="34"/>
      <c r="F30" s="36"/>
      <c r="G30" s="37"/>
      <c r="H30" s="38"/>
    </row>
    <row r="31" spans="2:8" ht="20.25" customHeight="1" x14ac:dyDescent="0.2">
      <c r="B31" s="34"/>
      <c r="C31" s="35"/>
      <c r="D31" s="36"/>
      <c r="E31" s="34"/>
      <c r="F31" s="36"/>
      <c r="G31" s="37"/>
      <c r="H31" s="38"/>
    </row>
    <row r="32" spans="2:8" ht="20.25" customHeight="1" x14ac:dyDescent="0.2">
      <c r="B32" s="34"/>
      <c r="C32" s="35"/>
      <c r="D32" s="36"/>
      <c r="E32" s="34"/>
      <c r="F32" s="36"/>
      <c r="G32" s="37"/>
      <c r="H32" s="38"/>
    </row>
    <row r="33" spans="2:8" ht="20.25" customHeight="1" x14ac:dyDescent="0.2">
      <c r="B33" s="34"/>
      <c r="C33" s="35"/>
      <c r="D33" s="36"/>
      <c r="E33" s="34"/>
      <c r="F33" s="36"/>
      <c r="G33" s="37"/>
      <c r="H33" s="38"/>
    </row>
    <row r="34" spans="2:8" ht="38.25" customHeight="1" x14ac:dyDescent="0.2">
      <c r="B34" s="59" t="s">
        <v>10</v>
      </c>
      <c r="C34" s="60"/>
      <c r="D34" s="60"/>
      <c r="E34" s="60"/>
      <c r="F34" s="61"/>
      <c r="G34" s="53" t="s">
        <v>9</v>
      </c>
      <c r="H34" s="55">
        <f>SUM(H12:H33)</f>
        <v>2200</v>
      </c>
    </row>
    <row r="35" spans="2:8" ht="20.25" customHeight="1" x14ac:dyDescent="0.2">
      <c r="B35" s="57" t="s">
        <v>54</v>
      </c>
      <c r="C35" s="57"/>
      <c r="D35" s="57"/>
      <c r="E35" s="57"/>
      <c r="F35" s="57"/>
      <c r="G35" s="54"/>
      <c r="H35" s="56"/>
    </row>
    <row r="36" spans="2:8" ht="53.25" customHeight="1" x14ac:dyDescent="0.2">
      <c r="D36" s="58" t="s">
        <v>47</v>
      </c>
      <c r="E36" s="58"/>
      <c r="F36" s="58"/>
      <c r="G36" s="58"/>
      <c r="H36" s="58"/>
    </row>
    <row r="38" spans="2:8" ht="30" customHeight="1" x14ac:dyDescent="0.2">
      <c r="D38" s="58" t="s">
        <v>48</v>
      </c>
      <c r="E38" s="58"/>
      <c r="F38" s="58"/>
      <c r="G38" s="58"/>
      <c r="H38" s="58"/>
    </row>
  </sheetData>
  <dataConsolidate/>
  <mergeCells count="17">
    <mergeCell ref="B4:E4"/>
    <mergeCell ref="B1:E1"/>
    <mergeCell ref="G1:H1"/>
    <mergeCell ref="B2:E2"/>
    <mergeCell ref="G2:H2"/>
    <mergeCell ref="B3:E3"/>
    <mergeCell ref="B5:E5"/>
    <mergeCell ref="B6:E6"/>
    <mergeCell ref="B7:E7"/>
    <mergeCell ref="B8:C8"/>
    <mergeCell ref="B9:E9"/>
    <mergeCell ref="G34:G35"/>
    <mergeCell ref="H34:H35"/>
    <mergeCell ref="B35:F35"/>
    <mergeCell ref="D36:H36"/>
    <mergeCell ref="D38:H38"/>
    <mergeCell ref="B34:F34"/>
  </mergeCells>
  <dataValidations count="19">
    <dataValidation allowBlank="1" showInputMessage="1" showErrorMessage="1" prompt="Enter Quotation end date in cell at right" sqref="G5" xr:uid="{00000000-0002-0000-0000-000000000000}"/>
    <dataValidation allowBlank="1" showInputMessage="1" showErrorMessage="1" prompt="Enter Prepared by name in cell at right" sqref="G6" xr:uid="{00000000-0002-0000-0000-000001000000}"/>
    <dataValidation allowBlank="1" showInputMessage="1" showErrorMessage="1" prompt="Title of this worksheet is in this cell. Enter Date, Quotation Number, and Customer ID in cells G2 through G5" sqref="G1:H1" xr:uid="{00000000-0002-0000-0000-000002000000}"/>
    <dataValidation allowBlank="1" showInputMessage="1" showErrorMessage="1" prompt="Enter Customer ID in this cell" sqref="H4" xr:uid="{00000000-0002-0000-0000-000003000000}"/>
    <dataValidation allowBlank="1" showInputMessage="1" showErrorMessage="1" prompt="Enter Quotation number in this cell" sqref="H3" xr:uid="{00000000-0002-0000-0000-000004000000}"/>
    <dataValidation allowBlank="1" showInputMessage="1" showErrorMessage="1" prompt="Enter Quotation number in cell at right" sqref="G3" xr:uid="{00000000-0002-0000-0000-000005000000}"/>
    <dataValidation allowBlank="1" showInputMessage="1" showErrorMessage="1" prompt="Enter quotation Date in cell at right" sqref="G2" xr:uid="{00000000-0002-0000-0000-000006000000}"/>
    <dataValidation allowBlank="1" showInputMessage="1" showErrorMessage="1" prompt="Enter Customer ID in cell at right" sqref="G4" xr:uid="{00000000-0002-0000-0000-000007000000}"/>
    <dataValidation allowBlank="1" showInputMessage="1" showErrorMessage="1" prompt="Enter Quotation end date in this cell" sqref="H5" xr:uid="{00000000-0002-0000-0000-000008000000}"/>
    <dataValidation allowBlank="1" showInputMessage="1" showErrorMessage="1" prompt="Enter Prepared by name in this cell" sqref="H6:H8" xr:uid="{00000000-0002-0000-0000-000009000000}"/>
    <dataValidation allowBlank="1" showInputMessage="1" showErrorMessage="1" prompt="Create a Price quote with tax calculation in this worksheet. Enter company, customer, quotation, shipping, and product details. Total due is automatically calculated" sqref="A1" xr:uid="{00000000-0002-0000-0000-00000A000000}"/>
    <dataValidation allowBlank="1" showInputMessage="1" showErrorMessage="1" prompt="Enter customer City, State, and Zip Code in this cell" sqref="B9:F10" xr:uid="{00000000-0002-0000-0000-00000B000000}"/>
    <dataValidation allowBlank="1" showInputMessage="1" showErrorMessage="1" prompt="Enter customer Company Name in this cell" sqref="B7:B8 D7:F8 C7" xr:uid="{00000000-0002-0000-0000-00000C000000}"/>
    <dataValidation allowBlank="1" showInputMessage="1" showErrorMessage="1" prompt="Enter customer Name in this cell" sqref="B6:F6" xr:uid="{00000000-0002-0000-0000-00000D000000}"/>
    <dataValidation allowBlank="1" showInputMessage="1" showErrorMessage="1" prompt="Enter customer Name, Company Name, Street Address, and Phone number in cells below, from cell B8 through B12, Quotation end date in cell G7 and Prepared by name in cell G8" sqref="B5:C5" xr:uid="{00000000-0002-0000-0000-00000E000000}"/>
    <dataValidation allowBlank="1" showInputMessage="1" showErrorMessage="1" prompt="Enter company City, State, and Zip Code in this cell" sqref="B4:F4" xr:uid="{00000000-0002-0000-0000-00000F000000}"/>
    <dataValidation allowBlank="1" showInputMessage="1" showErrorMessage="1" prompt="Enter company Street Address in this cell" sqref="B3:F3" xr:uid="{00000000-0002-0000-0000-000010000000}"/>
    <dataValidation allowBlank="1" showInputMessage="1" showErrorMessage="1" prompt="Enter Company Slogan in this cell and company address in cells below, from cell B4 through B6" sqref="B2:F2" xr:uid="{00000000-0002-0000-0000-000011000000}"/>
    <dataValidation allowBlank="1" showInputMessage="1" showErrorMessage="1" prompt="Enter Company Name in this cell and slogan in cell below. Quotation title is in cell at right" sqref="B1:F1" xr:uid="{00000000-0002-0000-0000-000012000000}"/>
  </dataValidations>
  <printOptions horizontalCentered="1"/>
  <pageMargins left="0.7" right="0.7" top="0.75" bottom="0.75" header="0.3" footer="0.3"/>
  <pageSetup paperSize="9" scale="83" orientation="portrait" horizontalDpi="4294967293" r:id="rId1"/>
  <headerFooter differentFirst="1">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H42"/>
  <sheetViews>
    <sheetView showGridLines="0" tabSelected="1" workbookViewId="0">
      <selection activeCell="B6" sqref="B6:E6"/>
    </sheetView>
  </sheetViews>
  <sheetFormatPr defaultColWidth="9" defaultRowHeight="30" customHeight="1" x14ac:dyDescent="0.2"/>
  <cols>
    <col min="1" max="1" width="1.625" style="3" customWidth="1"/>
    <col min="2" max="2" width="6.375" style="3" customWidth="1"/>
    <col min="3" max="3" width="32.625" style="3" bestFit="1" customWidth="1"/>
    <col min="4" max="4" width="10.125" style="3" customWidth="1"/>
    <col min="5" max="5" width="9.375" style="3" customWidth="1"/>
    <col min="6" max="6" width="11.75" style="3" customWidth="1"/>
    <col min="7" max="7" width="14.5" style="3" customWidth="1"/>
    <col min="8" max="8" width="14" style="3" customWidth="1"/>
    <col min="9" max="9" width="2.625" style="3" customWidth="1"/>
    <col min="10" max="16384" width="9" style="3"/>
  </cols>
  <sheetData>
    <row r="1" spans="1:8" ht="36" customHeight="1" x14ac:dyDescent="0.5">
      <c r="A1" s="1" t="s">
        <v>50</v>
      </c>
      <c r="B1" s="77" t="s">
        <v>46</v>
      </c>
      <c r="C1" s="77"/>
      <c r="D1" s="77"/>
      <c r="E1" s="77"/>
      <c r="F1" s="11"/>
      <c r="G1" s="68" t="s">
        <v>45</v>
      </c>
      <c r="H1" s="68"/>
    </row>
    <row r="2" spans="1:8" ht="17.25" customHeight="1" x14ac:dyDescent="0.25">
      <c r="B2" s="69" t="s">
        <v>1</v>
      </c>
      <c r="C2" s="69"/>
      <c r="D2" s="69"/>
      <c r="E2" s="69"/>
      <c r="F2" s="40"/>
      <c r="G2" s="70"/>
      <c r="H2" s="70"/>
    </row>
    <row r="3" spans="1:8" ht="15" customHeight="1" x14ac:dyDescent="0.2">
      <c r="B3" s="64" t="s">
        <v>2</v>
      </c>
      <c r="C3" s="64"/>
      <c r="D3" s="64"/>
      <c r="E3" s="64"/>
      <c r="F3" s="41"/>
      <c r="G3" s="5"/>
      <c r="H3" s="42"/>
    </row>
    <row r="4" spans="1:8" ht="15" customHeight="1" x14ac:dyDescent="0.2">
      <c r="B4" s="66"/>
      <c r="C4" s="66"/>
      <c r="D4" s="66"/>
      <c r="E4" s="66"/>
      <c r="F4" s="42"/>
      <c r="G4" s="5"/>
      <c r="H4" s="42"/>
    </row>
    <row r="5" spans="1:8" ht="23.25" customHeight="1" x14ac:dyDescent="0.25">
      <c r="B5" s="62" t="s">
        <v>0</v>
      </c>
      <c r="C5" s="62"/>
      <c r="D5" s="62"/>
      <c r="E5" s="62"/>
      <c r="F5" s="43"/>
      <c r="G5" s="7"/>
      <c r="H5" s="4"/>
    </row>
    <row r="6" spans="1:8" ht="17.25" customHeight="1" x14ac:dyDescent="0.25">
      <c r="B6" s="63" t="s">
        <v>11</v>
      </c>
      <c r="C6" s="63"/>
      <c r="D6" s="63"/>
      <c r="E6" s="63"/>
      <c r="F6" s="44"/>
      <c r="G6" s="7"/>
      <c r="H6" s="8"/>
    </row>
    <row r="7" spans="1:8" ht="25.5" customHeight="1" x14ac:dyDescent="0.25">
      <c r="B7" s="64" t="s">
        <v>49</v>
      </c>
      <c r="C7" s="64"/>
      <c r="D7" s="64"/>
      <c r="E7" s="64"/>
      <c r="F7" s="41"/>
      <c r="G7" s="7"/>
      <c r="H7" s="42"/>
    </row>
    <row r="8" spans="1:8" ht="22.5" customHeight="1" x14ac:dyDescent="0.25">
      <c r="B8" s="65" t="s">
        <v>12</v>
      </c>
      <c r="C8" s="65"/>
      <c r="D8" s="41"/>
      <c r="E8" s="41"/>
      <c r="F8" s="41"/>
      <c r="G8" s="7"/>
      <c r="H8" s="42"/>
    </row>
    <row r="9" spans="1:8" ht="15.75" customHeight="1" x14ac:dyDescent="0.2">
      <c r="B9" s="64" t="s">
        <v>63</v>
      </c>
      <c r="C9" s="64"/>
      <c r="D9" s="64"/>
      <c r="E9" s="64"/>
      <c r="F9" s="41"/>
      <c r="G9" s="42"/>
      <c r="H9" s="42"/>
    </row>
    <row r="10" spans="1:8" ht="15.75" customHeight="1" x14ac:dyDescent="0.2">
      <c r="B10" s="41"/>
      <c r="C10" s="41"/>
      <c r="D10" s="41"/>
      <c r="E10" s="41"/>
      <c r="F10" s="41"/>
      <c r="G10" s="42"/>
      <c r="H10" s="42"/>
    </row>
    <row r="11" spans="1:8" ht="30" customHeight="1" x14ac:dyDescent="0.2">
      <c r="B11" s="9" t="s">
        <v>3</v>
      </c>
      <c r="C11" s="9" t="s">
        <v>4</v>
      </c>
      <c r="D11" s="9" t="s">
        <v>5</v>
      </c>
      <c r="E11" s="9" t="s">
        <v>6</v>
      </c>
      <c r="F11" s="9" t="s">
        <v>40</v>
      </c>
      <c r="G11" s="9" t="s">
        <v>7</v>
      </c>
      <c r="H11" s="9" t="s">
        <v>8</v>
      </c>
    </row>
    <row r="12" spans="1:8" s="52" customFormat="1" ht="20.25" customHeight="1" x14ac:dyDescent="0.2">
      <c r="B12" s="34">
        <v>1</v>
      </c>
      <c r="C12" s="35" t="s">
        <v>64</v>
      </c>
      <c r="D12" s="36">
        <v>3</v>
      </c>
      <c r="E12" s="34" t="s">
        <v>61</v>
      </c>
      <c r="F12" s="36">
        <v>150</v>
      </c>
      <c r="G12" s="39"/>
      <c r="H12" s="45">
        <f t="shared" ref="H12:H19" si="0">F12*D12</f>
        <v>450</v>
      </c>
    </row>
    <row r="13" spans="1:8" s="52" customFormat="1" ht="20.25" customHeight="1" x14ac:dyDescent="0.2">
      <c r="B13" s="34">
        <v>2</v>
      </c>
      <c r="C13" s="35" t="s">
        <v>59</v>
      </c>
      <c r="D13" s="36">
        <v>2</v>
      </c>
      <c r="E13" s="34" t="s">
        <v>60</v>
      </c>
      <c r="F13" s="36">
        <v>550</v>
      </c>
      <c r="G13" s="39"/>
      <c r="H13" s="45">
        <f t="shared" si="0"/>
        <v>1100</v>
      </c>
    </row>
    <row r="14" spans="1:8" s="52" customFormat="1" ht="20.25" customHeight="1" x14ac:dyDescent="0.2">
      <c r="B14" s="34">
        <v>3</v>
      </c>
      <c r="C14" s="35" t="s">
        <v>65</v>
      </c>
      <c r="D14" s="36">
        <v>1</v>
      </c>
      <c r="E14" s="34" t="s">
        <v>61</v>
      </c>
      <c r="F14" s="36">
        <v>120</v>
      </c>
      <c r="G14" s="39"/>
      <c r="H14" s="45">
        <f t="shared" si="0"/>
        <v>120</v>
      </c>
    </row>
    <row r="15" spans="1:8" s="52" customFormat="1" ht="20.25" customHeight="1" x14ac:dyDescent="0.2">
      <c r="B15" s="34">
        <v>4</v>
      </c>
      <c r="C15" s="35" t="s">
        <v>66</v>
      </c>
      <c r="D15" s="36">
        <v>1</v>
      </c>
      <c r="E15" s="34" t="s">
        <v>61</v>
      </c>
      <c r="F15" s="36">
        <v>320</v>
      </c>
      <c r="G15" s="39"/>
      <c r="H15" s="45">
        <f t="shared" si="0"/>
        <v>320</v>
      </c>
    </row>
    <row r="16" spans="1:8" s="52" customFormat="1" ht="20.25" customHeight="1" x14ac:dyDescent="0.2">
      <c r="B16" s="34">
        <v>5</v>
      </c>
      <c r="C16" s="35" t="s">
        <v>67</v>
      </c>
      <c r="D16" s="36">
        <v>20</v>
      </c>
      <c r="E16" s="34" t="s">
        <v>58</v>
      </c>
      <c r="F16" s="36">
        <v>20</v>
      </c>
      <c r="G16" s="39"/>
      <c r="H16" s="45">
        <f t="shared" si="0"/>
        <v>400</v>
      </c>
    </row>
    <row r="17" spans="2:8" s="52" customFormat="1" ht="20.25" customHeight="1" x14ac:dyDescent="0.2">
      <c r="B17" s="34">
        <v>6</v>
      </c>
      <c r="C17" s="35" t="s">
        <v>68</v>
      </c>
      <c r="D17" s="36">
        <v>20</v>
      </c>
      <c r="E17" s="34" t="s">
        <v>58</v>
      </c>
      <c r="F17" s="36">
        <v>25</v>
      </c>
      <c r="G17" s="39"/>
      <c r="H17" s="45">
        <f t="shared" si="0"/>
        <v>500</v>
      </c>
    </row>
    <row r="18" spans="2:8" s="52" customFormat="1" ht="20.25" customHeight="1" x14ac:dyDescent="0.2">
      <c r="B18" s="34">
        <v>7</v>
      </c>
      <c r="C18" s="35" t="s">
        <v>56</v>
      </c>
      <c r="D18" s="36">
        <v>2</v>
      </c>
      <c r="E18" s="34" t="s">
        <v>41</v>
      </c>
      <c r="F18" s="36">
        <v>550</v>
      </c>
      <c r="G18" s="39"/>
      <c r="H18" s="45">
        <f t="shared" si="0"/>
        <v>1100</v>
      </c>
    </row>
    <row r="19" spans="2:8" s="52" customFormat="1" ht="20.25" customHeight="1" x14ac:dyDescent="0.2">
      <c r="B19" s="34">
        <v>8</v>
      </c>
      <c r="C19" s="35" t="s">
        <v>57</v>
      </c>
      <c r="D19" s="36">
        <v>2</v>
      </c>
      <c r="E19" s="34" t="s">
        <v>41</v>
      </c>
      <c r="F19" s="36">
        <v>505</v>
      </c>
      <c r="G19" s="39"/>
      <c r="H19" s="45">
        <f t="shared" si="0"/>
        <v>1010</v>
      </c>
    </row>
    <row r="20" spans="2:8" s="52" customFormat="1" ht="20.25" customHeight="1" x14ac:dyDescent="0.2">
      <c r="B20" s="34"/>
      <c r="C20" s="35"/>
      <c r="D20" s="36"/>
      <c r="E20" s="34"/>
      <c r="F20" s="36"/>
      <c r="G20" s="39"/>
      <c r="H20" s="45"/>
    </row>
    <row r="21" spans="2:8" s="52" customFormat="1" ht="20.25" customHeight="1" x14ac:dyDescent="0.2">
      <c r="B21" s="34"/>
      <c r="C21" s="35"/>
      <c r="D21" s="36"/>
      <c r="E21" s="34"/>
      <c r="F21" s="36"/>
      <c r="G21" s="39"/>
      <c r="H21" s="45"/>
    </row>
    <row r="22" spans="2:8" s="52" customFormat="1" ht="20.25" customHeight="1" x14ac:dyDescent="0.2">
      <c r="B22" s="34"/>
      <c r="C22" s="35"/>
      <c r="D22" s="36"/>
      <c r="E22" s="34"/>
      <c r="F22" s="36"/>
      <c r="G22" s="39"/>
      <c r="H22" s="45"/>
    </row>
    <row r="23" spans="2:8" ht="20.25" customHeight="1" x14ac:dyDescent="0.2">
      <c r="B23" s="34"/>
      <c r="C23" s="35"/>
      <c r="D23" s="36"/>
      <c r="E23" s="34"/>
      <c r="F23" s="36"/>
      <c r="G23" s="37"/>
      <c r="H23" s="38"/>
    </row>
    <row r="24" spans="2:8" ht="20.25" customHeight="1" x14ac:dyDescent="0.2">
      <c r="B24" s="34"/>
      <c r="C24" s="35"/>
      <c r="D24" s="36"/>
      <c r="E24" s="34"/>
      <c r="F24" s="36"/>
      <c r="G24" s="37"/>
      <c r="H24" s="38"/>
    </row>
    <row r="25" spans="2:8" ht="20.25" customHeight="1" x14ac:dyDescent="0.2">
      <c r="B25" s="34"/>
      <c r="C25" s="35"/>
      <c r="D25" s="36"/>
      <c r="E25" s="34"/>
      <c r="F25" s="36"/>
      <c r="G25" s="37"/>
      <c r="H25" s="38"/>
    </row>
    <row r="26" spans="2:8" ht="20.25" customHeight="1" x14ac:dyDescent="0.2">
      <c r="B26" s="34"/>
      <c r="C26" s="35"/>
      <c r="D26" s="36"/>
      <c r="E26" s="34"/>
      <c r="F26" s="36"/>
      <c r="G26" s="37"/>
      <c r="H26" s="38"/>
    </row>
    <row r="27" spans="2:8" ht="20.25" customHeight="1" x14ac:dyDescent="0.2">
      <c r="B27" s="34"/>
      <c r="C27" s="35"/>
      <c r="D27" s="36"/>
      <c r="E27" s="34"/>
      <c r="F27" s="36"/>
      <c r="G27" s="37"/>
      <c r="H27" s="38"/>
    </row>
    <row r="28" spans="2:8" ht="20.25" customHeight="1" x14ac:dyDescent="0.2">
      <c r="B28" s="34"/>
      <c r="C28" s="35"/>
      <c r="D28" s="36"/>
      <c r="E28" s="34"/>
      <c r="F28" s="36"/>
      <c r="G28" s="37"/>
      <c r="H28" s="38"/>
    </row>
    <row r="29" spans="2:8" ht="20.25" customHeight="1" x14ac:dyDescent="0.2">
      <c r="B29" s="34"/>
      <c r="C29" s="35"/>
      <c r="D29" s="36"/>
      <c r="E29" s="34"/>
      <c r="F29" s="36"/>
      <c r="G29" s="37"/>
      <c r="H29" s="38"/>
    </row>
    <row r="30" spans="2:8" ht="20.25" customHeight="1" x14ac:dyDescent="0.2">
      <c r="B30" s="34"/>
      <c r="C30" s="35"/>
      <c r="D30" s="36"/>
      <c r="E30" s="34"/>
      <c r="F30" s="36"/>
      <c r="G30" s="37"/>
      <c r="H30" s="38"/>
    </row>
    <row r="31" spans="2:8" ht="20.25" customHeight="1" x14ac:dyDescent="0.2">
      <c r="B31" s="34"/>
      <c r="C31" s="35"/>
      <c r="D31" s="36"/>
      <c r="E31" s="34"/>
      <c r="F31" s="36"/>
      <c r="G31" s="37"/>
      <c r="H31" s="38"/>
    </row>
    <row r="32" spans="2:8" ht="20.25" customHeight="1" x14ac:dyDescent="0.2">
      <c r="B32" s="34"/>
      <c r="C32" s="35"/>
      <c r="D32" s="36"/>
      <c r="E32" s="34"/>
      <c r="F32" s="36"/>
      <c r="G32" s="37"/>
      <c r="H32" s="38"/>
    </row>
    <row r="33" spans="2:8" ht="20.25" customHeight="1" x14ac:dyDescent="0.2">
      <c r="B33" s="34"/>
      <c r="C33" s="35"/>
      <c r="D33" s="36"/>
      <c r="E33" s="34"/>
      <c r="F33" s="36"/>
      <c r="G33" s="37"/>
      <c r="H33" s="38"/>
    </row>
    <row r="34" spans="2:8" ht="20.25" customHeight="1" x14ac:dyDescent="0.2">
      <c r="B34" s="34"/>
      <c r="C34" s="35"/>
      <c r="D34" s="36"/>
      <c r="E34" s="34"/>
      <c r="F34" s="36"/>
      <c r="G34" s="37"/>
      <c r="H34" s="38"/>
    </row>
    <row r="35" spans="2:8" ht="20.25" customHeight="1" x14ac:dyDescent="0.2">
      <c r="B35" s="34"/>
      <c r="C35" s="35"/>
      <c r="D35" s="36"/>
      <c r="E35" s="34"/>
      <c r="F35" s="36"/>
      <c r="G35" s="37"/>
      <c r="H35" s="38"/>
    </row>
    <row r="36" spans="2:8" ht="33" customHeight="1" x14ac:dyDescent="0.2">
      <c r="B36" s="34"/>
      <c r="C36" s="39"/>
      <c r="D36" s="36"/>
      <c r="E36" s="34"/>
      <c r="F36" s="36"/>
      <c r="G36" s="37"/>
      <c r="H36" s="38"/>
    </row>
    <row r="37" spans="2:8" ht="20.25" customHeight="1" x14ac:dyDescent="0.2">
      <c r="B37" s="34"/>
      <c r="C37" s="35"/>
      <c r="D37" s="36"/>
      <c r="E37" s="34"/>
      <c r="F37" s="36"/>
      <c r="G37" s="37"/>
      <c r="H37" s="38"/>
    </row>
    <row r="38" spans="2:8" ht="38.25" customHeight="1" x14ac:dyDescent="0.2">
      <c r="B38" s="73" t="s">
        <v>10</v>
      </c>
      <c r="C38" s="74"/>
      <c r="D38" s="74"/>
      <c r="E38" s="74"/>
      <c r="F38" s="75"/>
      <c r="G38" s="71" t="s">
        <v>9</v>
      </c>
      <c r="H38" s="72">
        <f>SUM(H12:H37)</f>
        <v>5000</v>
      </c>
    </row>
    <row r="39" spans="2:8" ht="20.25" customHeight="1" x14ac:dyDescent="0.2">
      <c r="B39" s="57" t="s">
        <v>62</v>
      </c>
      <c r="C39" s="57"/>
      <c r="D39" s="57"/>
      <c r="E39" s="57"/>
      <c r="F39" s="57"/>
      <c r="G39" s="54"/>
      <c r="H39" s="56"/>
    </row>
    <row r="40" spans="2:8" ht="53.25" customHeight="1" x14ac:dyDescent="0.2">
      <c r="D40" s="58" t="s">
        <v>47</v>
      </c>
      <c r="E40" s="58"/>
      <c r="F40" s="58"/>
      <c r="G40" s="58"/>
      <c r="H40" s="58"/>
    </row>
    <row r="42" spans="2:8" ht="30" customHeight="1" x14ac:dyDescent="0.2">
      <c r="D42" s="58" t="s">
        <v>48</v>
      </c>
      <c r="E42" s="58"/>
      <c r="F42" s="58"/>
      <c r="G42" s="58"/>
      <c r="H42" s="58"/>
    </row>
  </sheetData>
  <dataConsolidate/>
  <mergeCells count="17">
    <mergeCell ref="G38:G39"/>
    <mergeCell ref="H38:H39"/>
    <mergeCell ref="B39:F39"/>
    <mergeCell ref="D40:H40"/>
    <mergeCell ref="D42:H42"/>
    <mergeCell ref="B38:F38"/>
    <mergeCell ref="B5:E5"/>
    <mergeCell ref="B6:E6"/>
    <mergeCell ref="B7:E7"/>
    <mergeCell ref="B8:C8"/>
    <mergeCell ref="B9:E9"/>
    <mergeCell ref="B4:E4"/>
    <mergeCell ref="B1:E1"/>
    <mergeCell ref="G1:H1"/>
    <mergeCell ref="B2:E2"/>
    <mergeCell ref="G2:H2"/>
    <mergeCell ref="B3:E3"/>
  </mergeCells>
  <dataValidations count="19">
    <dataValidation allowBlank="1" showInputMessage="1" showErrorMessage="1" prompt="Enter Quotation end date in cell at right" sqref="G5" xr:uid="{00000000-0002-0000-0100-000000000000}"/>
    <dataValidation allowBlank="1" showInputMessage="1" showErrorMessage="1" prompt="Enter Prepared by name in cell at right" sqref="G6" xr:uid="{00000000-0002-0000-0100-000001000000}"/>
    <dataValidation allowBlank="1" showInputMessage="1" showErrorMessage="1" prompt="Title of this worksheet is in this cell. Enter Date, Quotation Number, and Customer ID in cells G2 through G5" sqref="G1:H1" xr:uid="{00000000-0002-0000-0100-000002000000}"/>
    <dataValidation allowBlank="1" showInputMessage="1" showErrorMessage="1" prompt="Enter Customer ID in this cell" sqref="H4" xr:uid="{00000000-0002-0000-0100-000003000000}"/>
    <dataValidation allowBlank="1" showInputMessage="1" showErrorMessage="1" prompt="Enter Quotation number in this cell" sqref="H3" xr:uid="{00000000-0002-0000-0100-000004000000}"/>
    <dataValidation allowBlank="1" showInputMessage="1" showErrorMessage="1" prompt="Enter Quotation number in cell at right" sqref="G3" xr:uid="{00000000-0002-0000-0100-000005000000}"/>
    <dataValidation allowBlank="1" showInputMessage="1" showErrorMessage="1" prompt="Enter quotation Date in cell at right" sqref="G2" xr:uid="{00000000-0002-0000-0100-000006000000}"/>
    <dataValidation allowBlank="1" showInputMessage="1" showErrorMessage="1" prompt="Enter Customer ID in cell at right" sqref="G4" xr:uid="{00000000-0002-0000-0100-000007000000}"/>
    <dataValidation allowBlank="1" showInputMessage="1" showErrorMessage="1" prompt="Enter Quotation end date in this cell" sqref="H5" xr:uid="{00000000-0002-0000-0100-000008000000}"/>
    <dataValidation allowBlank="1" showInputMessage="1" showErrorMessage="1" prompt="Enter Prepared by name in this cell" sqref="H6:H8" xr:uid="{00000000-0002-0000-0100-000009000000}"/>
    <dataValidation allowBlank="1" showInputMessage="1" showErrorMessage="1" prompt="Create a Price quote with tax calculation in this worksheet. Enter company, customer, quotation, shipping, and product details. Total due is automatically calculated" sqref="A1" xr:uid="{00000000-0002-0000-0100-00000A000000}"/>
    <dataValidation allowBlank="1" showInputMessage="1" showErrorMessage="1" prompt="Enter customer City, State, and Zip Code in this cell" sqref="B9:F10" xr:uid="{00000000-0002-0000-0100-00000B000000}"/>
    <dataValidation allowBlank="1" showInputMessage="1" showErrorMessage="1" prompt="Enter customer Company Name in this cell" sqref="B7:B8 D7:F8 C7" xr:uid="{00000000-0002-0000-0100-00000C000000}"/>
    <dataValidation allowBlank="1" showInputMessage="1" showErrorMessage="1" prompt="Enter customer Name in this cell" sqref="B6:F6" xr:uid="{00000000-0002-0000-0100-00000D000000}"/>
    <dataValidation allowBlank="1" showInputMessage="1" showErrorMessage="1" prompt="Enter customer Name, Company Name, Street Address, and Phone number in cells below, from cell B8 through B12, Quotation end date in cell G7 and Prepared by name in cell G8" sqref="B5:C5" xr:uid="{00000000-0002-0000-0100-00000E000000}"/>
    <dataValidation allowBlank="1" showInputMessage="1" showErrorMessage="1" prompt="Enter company City, State, and Zip Code in this cell" sqref="B4:F4" xr:uid="{00000000-0002-0000-0100-00000F000000}"/>
    <dataValidation allowBlank="1" showInputMessage="1" showErrorMessage="1" prompt="Enter company Street Address in this cell" sqref="B3:F3" xr:uid="{00000000-0002-0000-0100-000010000000}"/>
    <dataValidation allowBlank="1" showInputMessage="1" showErrorMessage="1" prompt="Enter Company Slogan in this cell and company address in cells below, from cell B4 through B6" sqref="B2:F2" xr:uid="{00000000-0002-0000-0100-000011000000}"/>
    <dataValidation allowBlank="1" showInputMessage="1" showErrorMessage="1" prompt="Enter Company Name in this cell and slogan in cell below. Quotation title is in cell at right" sqref="B1:F1" xr:uid="{00000000-0002-0000-0100-000012000000}"/>
  </dataValidations>
  <printOptions horizontalCentered="1"/>
  <pageMargins left="0.7" right="0.7" top="0.75" bottom="0.75" header="0.3" footer="0.3"/>
  <pageSetup paperSize="9" scale="80" orientation="portrait"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pageSetUpPr fitToPage="1"/>
  </sheetPr>
  <dimension ref="A1:H38"/>
  <sheetViews>
    <sheetView showGridLines="0" zoomScale="115" zoomScaleNormal="115" workbookViewId="0"/>
  </sheetViews>
  <sheetFormatPr defaultColWidth="9" defaultRowHeight="30" customHeight="1" x14ac:dyDescent="0.2"/>
  <cols>
    <col min="1" max="1" width="1.625" style="2" customWidth="1"/>
    <col min="2" max="2" width="6.375" style="2" customWidth="1"/>
    <col min="3" max="3" width="30.25" style="2" customWidth="1"/>
    <col min="4" max="4" width="10.125" style="2" customWidth="1"/>
    <col min="5" max="5" width="8.125" style="2" customWidth="1"/>
    <col min="6" max="6" width="11.75" style="3" customWidth="1"/>
    <col min="7" max="7" width="14.5" style="2" customWidth="1"/>
    <col min="8" max="8" width="14" style="2" customWidth="1"/>
    <col min="9" max="9" width="2.625" style="2" customWidth="1"/>
    <col min="10" max="16384" width="9" style="2"/>
  </cols>
  <sheetData>
    <row r="1" spans="1:8" ht="36" customHeight="1" x14ac:dyDescent="0.5">
      <c r="A1" s="1"/>
      <c r="B1" s="67" t="s">
        <v>46</v>
      </c>
      <c r="C1" s="67"/>
      <c r="D1" s="67"/>
      <c r="E1" s="67"/>
      <c r="F1" s="11"/>
      <c r="G1" s="68" t="s">
        <v>55</v>
      </c>
      <c r="H1" s="68"/>
    </row>
    <row r="2" spans="1:8" ht="17.25" customHeight="1" x14ac:dyDescent="0.25">
      <c r="B2" s="69" t="s">
        <v>1</v>
      </c>
      <c r="C2" s="69"/>
      <c r="D2" s="69"/>
      <c r="E2" s="69"/>
      <c r="F2" s="12"/>
      <c r="G2" s="70"/>
      <c r="H2" s="70"/>
    </row>
    <row r="3" spans="1:8" ht="15" customHeight="1" x14ac:dyDescent="0.2">
      <c r="B3" s="64" t="s">
        <v>2</v>
      </c>
      <c r="C3" s="64"/>
      <c r="D3" s="64"/>
      <c r="E3" s="64"/>
      <c r="F3" s="13"/>
      <c r="G3" s="5"/>
      <c r="H3" s="6"/>
    </row>
    <row r="4" spans="1:8" ht="15" customHeight="1" x14ac:dyDescent="0.2">
      <c r="B4" s="66"/>
      <c r="C4" s="66"/>
      <c r="D4" s="66"/>
      <c r="E4" s="66"/>
      <c r="F4" s="14"/>
      <c r="G4" s="5"/>
      <c r="H4" s="6"/>
    </row>
    <row r="5" spans="1:8" ht="23.25" customHeight="1" x14ac:dyDescent="0.25">
      <c r="B5" s="62" t="s">
        <v>0</v>
      </c>
      <c r="C5" s="62"/>
      <c r="D5" s="62"/>
      <c r="E5" s="62"/>
      <c r="F5" s="15"/>
      <c r="G5" s="7"/>
      <c r="H5" s="4"/>
    </row>
    <row r="6" spans="1:8" ht="17.25" customHeight="1" x14ac:dyDescent="0.25">
      <c r="B6" s="63" t="s">
        <v>51</v>
      </c>
      <c r="C6" s="63"/>
      <c r="D6" s="63"/>
      <c r="E6" s="63"/>
      <c r="F6" s="16"/>
      <c r="G6" s="7"/>
      <c r="H6" s="8"/>
    </row>
    <row r="7" spans="1:8" ht="25.5" customHeight="1" x14ac:dyDescent="0.25">
      <c r="B7" s="64" t="s">
        <v>52</v>
      </c>
      <c r="C7" s="64"/>
      <c r="D7" s="64"/>
      <c r="E7" s="64"/>
      <c r="F7" s="13"/>
      <c r="G7" s="7"/>
      <c r="H7" s="6"/>
    </row>
    <row r="8" spans="1:8" s="3" customFormat="1" ht="22.5" customHeight="1" x14ac:dyDescent="0.25">
      <c r="B8" s="65" t="s">
        <v>53</v>
      </c>
      <c r="C8" s="65"/>
      <c r="D8" s="10"/>
      <c r="E8" s="10"/>
      <c r="F8" s="13"/>
      <c r="G8" s="7"/>
      <c r="H8" s="6"/>
    </row>
    <row r="9" spans="1:8" ht="15.75" customHeight="1" x14ac:dyDescent="0.2">
      <c r="B9" s="64"/>
      <c r="C9" s="64"/>
      <c r="D9" s="64"/>
      <c r="E9" s="64"/>
      <c r="F9" s="13"/>
      <c r="G9" s="6"/>
      <c r="H9" s="6"/>
    </row>
    <row r="10" spans="1:8" s="3" customFormat="1" ht="15.75" customHeight="1" x14ac:dyDescent="0.2">
      <c r="B10" s="10"/>
      <c r="C10" s="10"/>
      <c r="D10" s="10"/>
      <c r="E10" s="10"/>
      <c r="F10" s="13"/>
      <c r="G10" s="6"/>
      <c r="H10" s="6"/>
    </row>
    <row r="11" spans="1:8" ht="30" customHeight="1" x14ac:dyDescent="0.2">
      <c r="B11" s="9" t="s">
        <v>3</v>
      </c>
      <c r="C11" s="9" t="s">
        <v>4</v>
      </c>
      <c r="D11" s="9" t="s">
        <v>5</v>
      </c>
      <c r="E11" s="9" t="s">
        <v>6</v>
      </c>
      <c r="F11" s="9" t="s">
        <v>40</v>
      </c>
      <c r="G11" s="9" t="s">
        <v>7</v>
      </c>
      <c r="H11" s="9" t="s">
        <v>8</v>
      </c>
    </row>
    <row r="12" spans="1:8" ht="20.25" customHeight="1" x14ac:dyDescent="0.2">
      <c r="B12" s="34">
        <v>1</v>
      </c>
      <c r="C12" s="35" t="s">
        <v>32</v>
      </c>
      <c r="D12" s="36">
        <v>4</v>
      </c>
      <c r="E12" s="34" t="s">
        <v>41</v>
      </c>
      <c r="F12" s="36">
        <v>550</v>
      </c>
      <c r="G12" s="37"/>
      <c r="H12" s="38">
        <v>2200</v>
      </c>
    </row>
    <row r="13" spans="1:8" ht="20.25" customHeight="1" x14ac:dyDescent="0.2">
      <c r="B13" s="34"/>
      <c r="C13" s="35"/>
      <c r="D13" s="36"/>
      <c r="E13" s="34"/>
      <c r="F13" s="36"/>
      <c r="G13" s="37"/>
      <c r="H13" s="38"/>
    </row>
    <row r="14" spans="1:8" ht="20.25" customHeight="1" x14ac:dyDescent="0.2">
      <c r="B14" s="34"/>
      <c r="C14" s="35"/>
      <c r="D14" s="36"/>
      <c r="E14" s="34"/>
      <c r="F14" s="36"/>
      <c r="G14" s="37"/>
      <c r="H14" s="38"/>
    </row>
    <row r="15" spans="1:8" ht="20.25" customHeight="1" x14ac:dyDescent="0.2">
      <c r="B15" s="34"/>
      <c r="C15" s="35"/>
      <c r="D15" s="36"/>
      <c r="E15" s="34"/>
      <c r="F15" s="36"/>
      <c r="G15" s="37"/>
      <c r="H15" s="38"/>
    </row>
    <row r="16" spans="1:8" ht="20.25" customHeight="1" x14ac:dyDescent="0.2">
      <c r="B16" s="34"/>
      <c r="C16" s="35"/>
      <c r="D16" s="36"/>
      <c r="E16" s="34"/>
      <c r="F16" s="36"/>
      <c r="G16" s="37"/>
      <c r="H16" s="38"/>
    </row>
    <row r="17" spans="2:8" ht="20.25" customHeight="1" x14ac:dyDescent="0.2">
      <c r="B17" s="34"/>
      <c r="C17" s="35"/>
      <c r="D17" s="36"/>
      <c r="E17" s="34"/>
      <c r="F17" s="36"/>
      <c r="G17" s="37"/>
      <c r="H17" s="38"/>
    </row>
    <row r="18" spans="2:8" ht="20.25" customHeight="1" x14ac:dyDescent="0.2">
      <c r="B18" s="34"/>
      <c r="C18" s="35"/>
      <c r="D18" s="36"/>
      <c r="E18" s="34"/>
      <c r="F18" s="36"/>
      <c r="G18" s="37"/>
      <c r="H18" s="38"/>
    </row>
    <row r="19" spans="2:8" ht="20.25" customHeight="1" x14ac:dyDescent="0.2">
      <c r="B19" s="34"/>
      <c r="C19" s="35"/>
      <c r="D19" s="36"/>
      <c r="E19" s="34"/>
      <c r="F19" s="36"/>
      <c r="G19" s="37"/>
      <c r="H19" s="38"/>
    </row>
    <row r="20" spans="2:8" ht="20.25" customHeight="1" x14ac:dyDescent="0.2">
      <c r="B20" s="34"/>
      <c r="C20" s="35"/>
      <c r="D20" s="36"/>
      <c r="E20" s="34"/>
      <c r="F20" s="36"/>
      <c r="G20" s="37"/>
      <c r="H20" s="38"/>
    </row>
    <row r="21" spans="2:8" s="3" customFormat="1" ht="20.25" customHeight="1" x14ac:dyDescent="0.2">
      <c r="B21" s="34"/>
      <c r="C21" s="35"/>
      <c r="D21" s="36"/>
      <c r="E21" s="34"/>
      <c r="F21" s="36"/>
      <c r="G21" s="37"/>
      <c r="H21" s="38"/>
    </row>
    <row r="22" spans="2:8" s="3" customFormat="1" ht="20.25" customHeight="1" x14ac:dyDescent="0.2">
      <c r="B22" s="34"/>
      <c r="C22" s="35"/>
      <c r="D22" s="36"/>
      <c r="E22" s="34"/>
      <c r="F22" s="36"/>
      <c r="G22" s="37"/>
      <c r="H22" s="38"/>
    </row>
    <row r="23" spans="2:8" s="3" customFormat="1" ht="20.25" customHeight="1" x14ac:dyDescent="0.2">
      <c r="B23" s="34"/>
      <c r="C23" s="35"/>
      <c r="D23" s="36"/>
      <c r="E23" s="34"/>
      <c r="F23" s="36"/>
      <c r="G23" s="37"/>
      <c r="H23" s="38"/>
    </row>
    <row r="24" spans="2:8" s="3" customFormat="1" ht="20.25" customHeight="1" x14ac:dyDescent="0.2">
      <c r="B24" s="34"/>
      <c r="C24" s="35"/>
      <c r="D24" s="36"/>
      <c r="E24" s="34"/>
      <c r="F24" s="36"/>
      <c r="G24" s="37"/>
      <c r="H24" s="38"/>
    </row>
    <row r="25" spans="2:8" s="3" customFormat="1" ht="20.25" customHeight="1" x14ac:dyDescent="0.2">
      <c r="B25" s="34"/>
      <c r="C25" s="35"/>
      <c r="D25" s="36"/>
      <c r="E25" s="34"/>
      <c r="F25" s="36"/>
      <c r="G25" s="37"/>
      <c r="H25" s="38"/>
    </row>
    <row r="26" spans="2:8" s="3" customFormat="1" ht="20.25" customHeight="1" x14ac:dyDescent="0.2">
      <c r="B26" s="34"/>
      <c r="C26" s="35"/>
      <c r="D26" s="36"/>
      <c r="E26" s="34"/>
      <c r="F26" s="36"/>
      <c r="G26" s="37"/>
      <c r="H26" s="38"/>
    </row>
    <row r="27" spans="2:8" ht="20.25" customHeight="1" x14ac:dyDescent="0.2">
      <c r="B27" s="34"/>
      <c r="C27" s="35"/>
      <c r="D27" s="36"/>
      <c r="E27" s="34"/>
      <c r="F27" s="36"/>
      <c r="G27" s="37"/>
      <c r="H27" s="38"/>
    </row>
    <row r="28" spans="2:8" s="3" customFormat="1" ht="20.25" customHeight="1" x14ac:dyDescent="0.2">
      <c r="B28" s="34"/>
      <c r="C28" s="35"/>
      <c r="D28" s="36"/>
      <c r="E28" s="34"/>
      <c r="F28" s="36"/>
      <c r="G28" s="37"/>
      <c r="H28" s="38"/>
    </row>
    <row r="29" spans="2:8" s="3" customFormat="1" ht="20.25" customHeight="1" x14ac:dyDescent="0.2">
      <c r="B29" s="34"/>
      <c r="C29" s="35"/>
      <c r="D29" s="36"/>
      <c r="E29" s="34"/>
      <c r="F29" s="36"/>
      <c r="G29" s="37"/>
      <c r="H29" s="38"/>
    </row>
    <row r="30" spans="2:8" s="3" customFormat="1" ht="20.25" customHeight="1" x14ac:dyDescent="0.2">
      <c r="B30" s="34"/>
      <c r="C30" s="35"/>
      <c r="D30" s="36"/>
      <c r="E30" s="34"/>
      <c r="F30" s="36"/>
      <c r="G30" s="37"/>
      <c r="H30" s="38"/>
    </row>
    <row r="31" spans="2:8" s="3" customFormat="1" ht="20.25" customHeight="1" x14ac:dyDescent="0.2">
      <c r="B31" s="34"/>
      <c r="C31" s="35"/>
      <c r="D31" s="36"/>
      <c r="E31" s="34"/>
      <c r="F31" s="36"/>
      <c r="G31" s="37"/>
      <c r="H31" s="38"/>
    </row>
    <row r="32" spans="2:8" s="3" customFormat="1" ht="20.25" customHeight="1" x14ac:dyDescent="0.2">
      <c r="B32" s="34"/>
      <c r="C32" s="35"/>
      <c r="D32" s="36"/>
      <c r="E32" s="34"/>
      <c r="F32" s="36"/>
      <c r="G32" s="37"/>
      <c r="H32" s="38"/>
    </row>
    <row r="33" spans="2:8" s="3" customFormat="1" ht="20.25" customHeight="1" x14ac:dyDescent="0.2">
      <c r="B33" s="34"/>
      <c r="C33" s="35"/>
      <c r="D33" s="36"/>
      <c r="E33" s="34"/>
      <c r="F33" s="36"/>
      <c r="G33" s="37"/>
      <c r="H33" s="38"/>
    </row>
    <row r="34" spans="2:8" ht="38.25" customHeight="1" x14ac:dyDescent="0.2">
      <c r="B34" s="59" t="s">
        <v>10</v>
      </c>
      <c r="C34" s="60"/>
      <c r="D34" s="60"/>
      <c r="E34" s="60"/>
      <c r="F34" s="61"/>
      <c r="G34" s="53" t="s">
        <v>9</v>
      </c>
      <c r="H34" s="55">
        <f>SUM(H12:H33)</f>
        <v>2200</v>
      </c>
    </row>
    <row r="35" spans="2:8" ht="20.25" customHeight="1" x14ac:dyDescent="0.2">
      <c r="B35" s="57" t="s">
        <v>54</v>
      </c>
      <c r="C35" s="57"/>
      <c r="D35" s="57"/>
      <c r="E35" s="57"/>
      <c r="F35" s="57"/>
      <c r="G35" s="54"/>
      <c r="H35" s="56"/>
    </row>
    <row r="36" spans="2:8" ht="53.25" customHeight="1" x14ac:dyDescent="0.2">
      <c r="D36" s="58" t="s">
        <v>47</v>
      </c>
      <c r="E36" s="58"/>
      <c r="F36" s="58"/>
      <c r="G36" s="58"/>
      <c r="H36" s="58"/>
    </row>
    <row r="38" spans="2:8" ht="30" customHeight="1" x14ac:dyDescent="0.2">
      <c r="D38" s="58" t="s">
        <v>48</v>
      </c>
      <c r="E38" s="58"/>
      <c r="F38" s="58"/>
      <c r="G38" s="58"/>
      <c r="H38" s="58"/>
    </row>
  </sheetData>
  <dataConsolidate/>
  <mergeCells count="17">
    <mergeCell ref="G1:H1"/>
    <mergeCell ref="B1:E1"/>
    <mergeCell ref="B2:E2"/>
    <mergeCell ref="B3:E3"/>
    <mergeCell ref="B4:E4"/>
    <mergeCell ref="D38:H38"/>
    <mergeCell ref="D36:H36"/>
    <mergeCell ref="G2:H2"/>
    <mergeCell ref="G34:G35"/>
    <mergeCell ref="H34:H35"/>
    <mergeCell ref="B35:F35"/>
    <mergeCell ref="B34:F34"/>
    <mergeCell ref="B5:E5"/>
    <mergeCell ref="B6:E6"/>
    <mergeCell ref="B7:E7"/>
    <mergeCell ref="B9:E9"/>
    <mergeCell ref="B8:C8"/>
  </mergeCells>
  <phoneticPr fontId="1" type="noConversion"/>
  <dataValidations xWindow="108" yWindow="336" count="19">
    <dataValidation allowBlank="1" showInputMessage="1" showErrorMessage="1" prompt="Enter Company Name in this cell and slogan in cell below. Quotation title is in cell at right" sqref="B1:F1" xr:uid="{00000000-0002-0000-0300-000000000000}"/>
    <dataValidation allowBlank="1" showInputMessage="1" showErrorMessage="1" prompt="Enter Company Slogan in this cell and company address in cells below, from cell B4 through B6" sqref="B2:F2" xr:uid="{00000000-0002-0000-0300-000001000000}"/>
    <dataValidation allowBlank="1" showInputMessage="1" showErrorMessage="1" prompt="Enter company Street Address in this cell" sqref="B3:F3" xr:uid="{00000000-0002-0000-0300-000002000000}"/>
    <dataValidation allowBlank="1" showInputMessage="1" showErrorMessage="1" prompt="Enter company City, State, and Zip Code in this cell" sqref="B4:F4" xr:uid="{00000000-0002-0000-0300-000003000000}"/>
    <dataValidation allowBlank="1" showInputMessage="1" showErrorMessage="1" prompt="Enter customer Name, Company Name, Street Address, and Phone number in cells below, from cell B8 through B12, Quotation end date in cell G7 and Prepared by name in cell G8" sqref="B5:C5" xr:uid="{00000000-0002-0000-0300-000004000000}"/>
    <dataValidation allowBlank="1" showInputMessage="1" showErrorMessage="1" prompt="Enter customer Name in this cell" sqref="B6:F6" xr:uid="{00000000-0002-0000-0300-000005000000}"/>
    <dataValidation allowBlank="1" showInputMessage="1" showErrorMessage="1" prompt="Enter customer Company Name in this cell" sqref="B7:B8 D7:F8 C7" xr:uid="{00000000-0002-0000-0300-000006000000}"/>
    <dataValidation allowBlank="1" showInputMessage="1" showErrorMessage="1" prompt="Enter customer City, State, and Zip Code in this cell" sqref="B9:F10" xr:uid="{00000000-0002-0000-0300-000007000000}"/>
    <dataValidation allowBlank="1" showInputMessage="1" showErrorMessage="1" prompt="Create a Price quote with tax calculation in this worksheet. Enter company, customer, quotation, shipping, and product details. Total due is automatically calculated" sqref="A1" xr:uid="{00000000-0002-0000-0300-000008000000}"/>
    <dataValidation allowBlank="1" showInputMessage="1" showErrorMessage="1" prompt="Enter Prepared by name in this cell" sqref="H6:H8" xr:uid="{00000000-0002-0000-0300-000009000000}"/>
    <dataValidation allowBlank="1" showInputMessage="1" showErrorMessage="1" prompt="Enter Quotation end date in this cell" sqref="H5" xr:uid="{00000000-0002-0000-0300-00000A000000}"/>
    <dataValidation allowBlank="1" showInputMessage="1" showErrorMessage="1" prompt="Enter Customer ID in cell at right" sqref="G4" xr:uid="{00000000-0002-0000-0300-00000B000000}"/>
    <dataValidation allowBlank="1" showInputMessage="1" showErrorMessage="1" prompt="Enter quotation Date in cell at right" sqref="G2" xr:uid="{00000000-0002-0000-0300-00000C000000}"/>
    <dataValidation allowBlank="1" showInputMessage="1" showErrorMessage="1" prompt="Enter Quotation number in cell at right" sqref="G3" xr:uid="{00000000-0002-0000-0300-00000D000000}"/>
    <dataValidation allowBlank="1" showInputMessage="1" showErrorMessage="1" prompt="Enter Quotation number in this cell" sqref="H3" xr:uid="{00000000-0002-0000-0300-00000E000000}"/>
    <dataValidation allowBlank="1" showInputMessage="1" showErrorMessage="1" prompt="Enter Customer ID in this cell" sqref="H4" xr:uid="{00000000-0002-0000-0300-00000F000000}"/>
    <dataValidation allowBlank="1" showInputMessage="1" showErrorMessage="1" prompt="Title of this worksheet is in this cell. Enter Date, Quotation Number, and Customer ID in cells G2 through G5" sqref="G1:H1" xr:uid="{00000000-0002-0000-0300-000010000000}"/>
    <dataValidation allowBlank="1" showInputMessage="1" showErrorMessage="1" prompt="Enter Prepared by name in cell at right" sqref="G6" xr:uid="{00000000-0002-0000-0300-000011000000}"/>
    <dataValidation allowBlank="1" showInputMessage="1" showErrorMessage="1" prompt="Enter Quotation end date in cell at right" sqref="G5" xr:uid="{00000000-0002-0000-0300-000012000000}"/>
  </dataValidations>
  <printOptions horizontalCentered="1"/>
  <pageMargins left="0.7" right="0.7" top="0.75" bottom="0.75" header="0.3" footer="0.3"/>
  <pageSetup paperSize="9" scale="83" orientation="portrait" horizontalDpi="4294967293" r:id="rId1"/>
  <headerFooter differentFirst="1">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28"/>
  <sheetViews>
    <sheetView zoomScale="85" zoomScaleNormal="85" workbookViewId="0">
      <selection activeCell="E5" sqref="E5"/>
    </sheetView>
  </sheetViews>
  <sheetFormatPr defaultColWidth="9" defaultRowHeight="16.5" x14ac:dyDescent="0.2"/>
  <cols>
    <col min="1" max="1" width="2.25" style="18" customWidth="1"/>
    <col min="2" max="2" width="9" style="17"/>
    <col min="3" max="3" width="29" style="18" customWidth="1"/>
    <col min="4" max="4" width="8.375" style="18" customWidth="1"/>
    <col min="5" max="5" width="10" style="18" customWidth="1"/>
    <col min="6" max="6" width="11.125" style="18" customWidth="1"/>
    <col min="7" max="7" width="10.375" style="18" hidden="1" customWidth="1"/>
    <col min="8" max="8" width="11" style="18" customWidth="1"/>
    <col min="9" max="10" width="9" style="18"/>
    <col min="11" max="11" width="13.25" style="18" bestFit="1" customWidth="1"/>
    <col min="12" max="16384" width="9" style="18"/>
  </cols>
  <sheetData>
    <row r="2" spans="2:9" ht="20.25" customHeight="1" x14ac:dyDescent="0.2">
      <c r="D2" s="24">
        <v>1</v>
      </c>
      <c r="E2" s="24">
        <v>2</v>
      </c>
      <c r="F2" s="76" t="s">
        <v>5</v>
      </c>
      <c r="G2" s="76"/>
      <c r="H2" s="24">
        <v>1</v>
      </c>
      <c r="I2" s="24">
        <v>2</v>
      </c>
    </row>
    <row r="3" spans="2:9" s="19" customFormat="1" ht="59.25" customHeight="1" x14ac:dyDescent="0.2">
      <c r="B3" s="24" t="s">
        <v>3</v>
      </c>
      <c r="C3" s="24" t="s">
        <v>13</v>
      </c>
      <c r="D3" s="25" t="s">
        <v>14</v>
      </c>
      <c r="E3" s="25" t="s">
        <v>31</v>
      </c>
      <c r="F3" s="24" t="s">
        <v>15</v>
      </c>
      <c r="G3" s="24" t="s">
        <v>16</v>
      </c>
      <c r="H3" s="24" t="s">
        <v>43</v>
      </c>
      <c r="I3" s="24" t="s">
        <v>44</v>
      </c>
    </row>
    <row r="4" spans="2:9" ht="21" customHeight="1" x14ac:dyDescent="0.2">
      <c r="B4" s="24">
        <v>1</v>
      </c>
      <c r="C4" s="27" t="s">
        <v>17</v>
      </c>
      <c r="D4" s="29">
        <v>140</v>
      </c>
      <c r="E4" s="29">
        <v>182</v>
      </c>
      <c r="F4" s="26">
        <v>2</v>
      </c>
      <c r="G4" s="27"/>
      <c r="H4" s="28">
        <f>D4*F4</f>
        <v>280</v>
      </c>
      <c r="I4" s="26">
        <f>E4*F4</f>
        <v>364</v>
      </c>
    </row>
    <row r="5" spans="2:9" ht="21" customHeight="1" x14ac:dyDescent="0.2">
      <c r="B5" s="46">
        <v>2</v>
      </c>
      <c r="C5" s="27" t="s">
        <v>18</v>
      </c>
      <c r="D5" s="29">
        <v>55</v>
      </c>
      <c r="E5" s="29">
        <v>72</v>
      </c>
      <c r="F5" s="26">
        <v>10</v>
      </c>
      <c r="G5" s="27"/>
      <c r="H5" s="28">
        <f t="shared" ref="H5:H25" si="0">D5*F5</f>
        <v>550</v>
      </c>
      <c r="I5" s="26">
        <f t="shared" ref="I5:I25" si="1">E5*F5</f>
        <v>720</v>
      </c>
    </row>
    <row r="6" spans="2:9" ht="21" customHeight="1" x14ac:dyDescent="0.2">
      <c r="B6" s="46">
        <v>3</v>
      </c>
      <c r="C6" s="27" t="s">
        <v>19</v>
      </c>
      <c r="D6" s="29">
        <v>60</v>
      </c>
      <c r="E6" s="29">
        <v>78</v>
      </c>
      <c r="F6" s="26">
        <v>30</v>
      </c>
      <c r="G6" s="27"/>
      <c r="H6" s="28">
        <f t="shared" si="0"/>
        <v>1800</v>
      </c>
      <c r="I6" s="26">
        <f t="shared" si="1"/>
        <v>2340</v>
      </c>
    </row>
    <row r="7" spans="2:9" ht="21" customHeight="1" x14ac:dyDescent="0.2">
      <c r="B7" s="46">
        <v>4</v>
      </c>
      <c r="C7" s="27" t="s">
        <v>20</v>
      </c>
      <c r="D7" s="26">
        <v>27</v>
      </c>
      <c r="E7" s="26">
        <v>36</v>
      </c>
      <c r="F7" s="26">
        <v>6</v>
      </c>
      <c r="G7" s="27"/>
      <c r="H7" s="28">
        <f t="shared" si="0"/>
        <v>162</v>
      </c>
      <c r="I7" s="26">
        <f t="shared" si="1"/>
        <v>216</v>
      </c>
    </row>
    <row r="8" spans="2:9" ht="21" customHeight="1" x14ac:dyDescent="0.2">
      <c r="B8" s="46">
        <v>5</v>
      </c>
      <c r="C8" s="27" t="s">
        <v>21</v>
      </c>
      <c r="D8" s="26">
        <v>294</v>
      </c>
      <c r="E8" s="26">
        <v>382</v>
      </c>
      <c r="F8" s="26">
        <v>2</v>
      </c>
      <c r="G8" s="27"/>
      <c r="H8" s="28">
        <f t="shared" si="0"/>
        <v>588</v>
      </c>
      <c r="I8" s="26">
        <f t="shared" si="1"/>
        <v>764</v>
      </c>
    </row>
    <row r="9" spans="2:9" ht="21" customHeight="1" x14ac:dyDescent="0.2">
      <c r="B9" s="46">
        <v>6</v>
      </c>
      <c r="C9" s="27" t="s">
        <v>22</v>
      </c>
      <c r="D9" s="26">
        <v>436</v>
      </c>
      <c r="E9" s="26">
        <v>567</v>
      </c>
      <c r="F9" s="26">
        <v>1</v>
      </c>
      <c r="G9" s="27"/>
      <c r="H9" s="28">
        <f t="shared" si="0"/>
        <v>436</v>
      </c>
      <c r="I9" s="26">
        <f t="shared" si="1"/>
        <v>567</v>
      </c>
    </row>
    <row r="10" spans="2:9" ht="21" customHeight="1" x14ac:dyDescent="0.2">
      <c r="B10" s="46">
        <v>7</v>
      </c>
      <c r="C10" s="27" t="s">
        <v>23</v>
      </c>
      <c r="D10" s="26">
        <v>161</v>
      </c>
      <c r="E10" s="26">
        <v>210</v>
      </c>
      <c r="F10" s="26">
        <v>1</v>
      </c>
      <c r="G10" s="27"/>
      <c r="H10" s="28">
        <f t="shared" si="0"/>
        <v>161</v>
      </c>
      <c r="I10" s="26">
        <f t="shared" si="1"/>
        <v>210</v>
      </c>
    </row>
    <row r="11" spans="2:9" ht="21" customHeight="1" x14ac:dyDescent="0.2">
      <c r="B11" s="46">
        <v>8</v>
      </c>
      <c r="C11" s="27" t="s">
        <v>24</v>
      </c>
      <c r="D11" s="26">
        <v>27</v>
      </c>
      <c r="E11" s="26">
        <v>35</v>
      </c>
      <c r="F11" s="26">
        <v>2</v>
      </c>
      <c r="G11" s="27"/>
      <c r="H11" s="28">
        <f t="shared" si="0"/>
        <v>54</v>
      </c>
      <c r="I11" s="26">
        <f t="shared" si="1"/>
        <v>70</v>
      </c>
    </row>
    <row r="12" spans="2:9" ht="21" customHeight="1" x14ac:dyDescent="0.2">
      <c r="B12" s="46">
        <v>9</v>
      </c>
      <c r="C12" s="27" t="s">
        <v>25</v>
      </c>
      <c r="D12" s="26">
        <v>61</v>
      </c>
      <c r="E12" s="26">
        <v>80</v>
      </c>
      <c r="F12" s="26">
        <v>2</v>
      </c>
      <c r="G12" s="27"/>
      <c r="H12" s="28">
        <f t="shared" si="0"/>
        <v>122</v>
      </c>
      <c r="I12" s="26">
        <f t="shared" si="1"/>
        <v>160</v>
      </c>
    </row>
    <row r="13" spans="2:9" ht="21" customHeight="1" x14ac:dyDescent="0.2">
      <c r="B13" s="46">
        <v>10</v>
      </c>
      <c r="C13" s="27" t="s">
        <v>26</v>
      </c>
      <c r="D13" s="26">
        <v>6</v>
      </c>
      <c r="E13" s="26">
        <v>8</v>
      </c>
      <c r="F13" s="26">
        <v>11</v>
      </c>
      <c r="G13" s="27"/>
      <c r="H13" s="28">
        <f t="shared" si="0"/>
        <v>66</v>
      </c>
      <c r="I13" s="26">
        <f t="shared" si="1"/>
        <v>88</v>
      </c>
    </row>
    <row r="14" spans="2:9" ht="21" customHeight="1" x14ac:dyDescent="0.2">
      <c r="B14" s="46">
        <v>11</v>
      </c>
      <c r="C14" s="27" t="s">
        <v>27</v>
      </c>
      <c r="D14" s="26">
        <v>58</v>
      </c>
      <c r="E14" s="26">
        <v>76</v>
      </c>
      <c r="F14" s="26">
        <v>14</v>
      </c>
      <c r="G14" s="27"/>
      <c r="H14" s="28">
        <f t="shared" si="0"/>
        <v>812</v>
      </c>
      <c r="I14" s="26">
        <f t="shared" si="1"/>
        <v>1064</v>
      </c>
    </row>
    <row r="15" spans="2:9" ht="21" customHeight="1" x14ac:dyDescent="0.2">
      <c r="B15" s="46">
        <v>12</v>
      </c>
      <c r="C15" s="27" t="s">
        <v>28</v>
      </c>
      <c r="D15" s="26">
        <v>74</v>
      </c>
      <c r="E15" s="26">
        <v>97</v>
      </c>
      <c r="F15" s="26">
        <v>10</v>
      </c>
      <c r="G15" s="27"/>
      <c r="H15" s="28">
        <f t="shared" si="0"/>
        <v>740</v>
      </c>
      <c r="I15" s="26">
        <f t="shared" si="1"/>
        <v>970</v>
      </c>
    </row>
    <row r="16" spans="2:9" ht="21" customHeight="1" x14ac:dyDescent="0.2">
      <c r="B16" s="46">
        <v>13</v>
      </c>
      <c r="C16" s="27" t="s">
        <v>29</v>
      </c>
      <c r="D16" s="26">
        <v>59</v>
      </c>
      <c r="E16" s="26">
        <v>77</v>
      </c>
      <c r="F16" s="26">
        <v>1</v>
      </c>
      <c r="G16" s="27"/>
      <c r="H16" s="28">
        <f t="shared" si="0"/>
        <v>59</v>
      </c>
      <c r="I16" s="26">
        <f t="shared" si="1"/>
        <v>77</v>
      </c>
    </row>
    <row r="17" spans="2:11" ht="21" customHeight="1" x14ac:dyDescent="0.2">
      <c r="B17" s="46">
        <v>14</v>
      </c>
      <c r="C17" s="27" t="s">
        <v>30</v>
      </c>
      <c r="D17" s="26">
        <v>431</v>
      </c>
      <c r="E17" s="26">
        <v>560</v>
      </c>
      <c r="F17" s="26">
        <v>2</v>
      </c>
      <c r="G17" s="27"/>
      <c r="H17" s="28">
        <f t="shared" si="0"/>
        <v>862</v>
      </c>
      <c r="I17" s="26">
        <f t="shared" si="1"/>
        <v>1120</v>
      </c>
    </row>
    <row r="18" spans="2:11" ht="21" customHeight="1" x14ac:dyDescent="0.2">
      <c r="B18" s="46">
        <v>15</v>
      </c>
      <c r="C18" s="27" t="s">
        <v>32</v>
      </c>
      <c r="D18" s="29">
        <v>500</v>
      </c>
      <c r="E18" s="29">
        <v>650</v>
      </c>
      <c r="F18" s="26">
        <v>5</v>
      </c>
      <c r="G18" s="27"/>
      <c r="H18" s="28">
        <f t="shared" si="0"/>
        <v>2500</v>
      </c>
      <c r="I18" s="26">
        <f t="shared" si="1"/>
        <v>3250</v>
      </c>
    </row>
    <row r="19" spans="2:11" ht="21" customHeight="1" x14ac:dyDescent="0.2">
      <c r="B19" s="46">
        <v>16</v>
      </c>
      <c r="C19" s="27" t="s">
        <v>33</v>
      </c>
      <c r="D19" s="26">
        <v>130</v>
      </c>
      <c r="E19" s="26">
        <v>170</v>
      </c>
      <c r="F19" s="26">
        <v>1</v>
      </c>
      <c r="G19" s="27"/>
      <c r="H19" s="28">
        <f t="shared" si="0"/>
        <v>130</v>
      </c>
      <c r="I19" s="26">
        <f t="shared" si="1"/>
        <v>170</v>
      </c>
    </row>
    <row r="20" spans="2:11" ht="21" customHeight="1" x14ac:dyDescent="0.2">
      <c r="B20" s="46">
        <v>17</v>
      </c>
      <c r="C20" s="27" t="s">
        <v>34</v>
      </c>
      <c r="D20" s="26">
        <v>9</v>
      </c>
      <c r="E20" s="26">
        <v>12</v>
      </c>
      <c r="F20" s="26">
        <v>5</v>
      </c>
      <c r="G20" s="26"/>
      <c r="H20" s="28">
        <f t="shared" si="0"/>
        <v>45</v>
      </c>
      <c r="I20" s="26">
        <f t="shared" si="1"/>
        <v>60</v>
      </c>
    </row>
    <row r="21" spans="2:11" ht="21" customHeight="1" x14ac:dyDescent="0.2">
      <c r="B21" s="46">
        <v>18</v>
      </c>
      <c r="C21" s="27" t="s">
        <v>35</v>
      </c>
      <c r="D21" s="26">
        <v>2519.85</v>
      </c>
      <c r="E21" s="26">
        <v>4990</v>
      </c>
      <c r="F21" s="26">
        <v>1</v>
      </c>
      <c r="G21" s="27"/>
      <c r="H21" s="28">
        <f t="shared" si="0"/>
        <v>2519.85</v>
      </c>
      <c r="I21" s="26">
        <f t="shared" si="1"/>
        <v>4990</v>
      </c>
    </row>
    <row r="22" spans="2:11" ht="21" customHeight="1" x14ac:dyDescent="0.2">
      <c r="B22" s="46">
        <v>19</v>
      </c>
      <c r="C22" s="27" t="s">
        <v>36</v>
      </c>
      <c r="D22" s="26">
        <v>230</v>
      </c>
      <c r="E22" s="26">
        <v>350</v>
      </c>
      <c r="F22" s="26">
        <v>2</v>
      </c>
      <c r="G22" s="27"/>
      <c r="H22" s="28">
        <f t="shared" si="0"/>
        <v>460</v>
      </c>
      <c r="I22" s="26">
        <f t="shared" si="1"/>
        <v>700</v>
      </c>
    </row>
    <row r="23" spans="2:11" ht="21" customHeight="1" x14ac:dyDescent="0.2">
      <c r="B23" s="46">
        <v>20</v>
      </c>
      <c r="C23" s="27" t="s">
        <v>37</v>
      </c>
      <c r="D23" s="26">
        <v>230</v>
      </c>
      <c r="E23" s="26">
        <v>350</v>
      </c>
      <c r="F23" s="26">
        <v>2</v>
      </c>
      <c r="G23" s="27"/>
      <c r="H23" s="28">
        <f t="shared" si="0"/>
        <v>460</v>
      </c>
      <c r="I23" s="26">
        <f t="shared" si="1"/>
        <v>700</v>
      </c>
    </row>
    <row r="24" spans="2:11" ht="21" customHeight="1" x14ac:dyDescent="0.2">
      <c r="B24" s="46">
        <v>21</v>
      </c>
      <c r="C24" s="27" t="s">
        <v>38</v>
      </c>
      <c r="D24" s="26">
        <v>230</v>
      </c>
      <c r="E24" s="26">
        <v>350</v>
      </c>
      <c r="F24" s="26">
        <v>2</v>
      </c>
      <c r="G24" s="27"/>
      <c r="H24" s="28">
        <f t="shared" si="0"/>
        <v>460</v>
      </c>
      <c r="I24" s="26">
        <f t="shared" si="1"/>
        <v>700</v>
      </c>
    </row>
    <row r="25" spans="2:11" ht="21" customHeight="1" x14ac:dyDescent="0.2">
      <c r="B25" s="46">
        <v>22</v>
      </c>
      <c r="C25" s="27" t="s">
        <v>39</v>
      </c>
      <c r="D25" s="26">
        <v>230</v>
      </c>
      <c r="E25" s="26">
        <v>350</v>
      </c>
      <c r="F25" s="26">
        <v>2</v>
      </c>
      <c r="G25" s="27"/>
      <c r="H25" s="28">
        <f t="shared" si="0"/>
        <v>460</v>
      </c>
      <c r="I25" s="26">
        <f t="shared" si="1"/>
        <v>700</v>
      </c>
    </row>
    <row r="26" spans="2:11" ht="21" customHeight="1" x14ac:dyDescent="0.2">
      <c r="D26" s="20"/>
      <c r="E26" s="20"/>
      <c r="F26" s="20"/>
      <c r="H26" s="22">
        <f>SUM(H4:H25)</f>
        <v>13726.85</v>
      </c>
      <c r="I26" s="22">
        <f>SUM(I4:I25)</f>
        <v>20000</v>
      </c>
      <c r="J26" s="21"/>
      <c r="K26" s="23"/>
    </row>
    <row r="27" spans="2:11" ht="21" customHeight="1" x14ac:dyDescent="0.2"/>
    <row r="28" spans="2:11" ht="21" customHeight="1" x14ac:dyDescent="0.2">
      <c r="F28" s="30" t="s">
        <v>42</v>
      </c>
      <c r="G28" s="31"/>
      <c r="H28" s="32">
        <f>I26-H26</f>
        <v>6273.15</v>
      </c>
      <c r="I28" s="33">
        <f>H28/H26</f>
        <v>0.45699851021902327</v>
      </c>
      <c r="K28" s="23"/>
    </row>
  </sheetData>
  <mergeCells count="1">
    <mergeCell ref="F2:G2"/>
  </mergeCells>
  <pageMargins left="0" right="0" top="0" bottom="0" header="0" footer="0"/>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ใบส่งของ</vt:lpstr>
      <vt:lpstr>Quotation (2)</vt:lpstr>
      <vt:lpstr>Sheet2</vt:lpstr>
      <vt:lpstr>Quotation</vt:lpstr>
      <vt:lpstr>Sheet1</vt:lpstr>
      <vt:lpstr>'Quotation (2)'!ColumnTitleRegion1..B11.1</vt:lpstr>
      <vt:lpstr>ใบส่งของ!ColumnTitleRegion1..B11.1</vt:lpstr>
      <vt:lpstr>ColumnTitleRegion1..B11.1</vt:lpstr>
      <vt:lpstr>'Quotation (2)'!RowTitleRegion1..G4</vt:lpstr>
      <vt:lpstr>ใบส่งของ!RowTitleRegion1..G4</vt:lpstr>
      <vt:lpstr>RowTitleRegion1..G4</vt:lpstr>
      <vt:lpstr>'Quotation (2)'!RowTitleRegion2..G7</vt:lpstr>
      <vt:lpstr>ใบส่งของ!RowTitleRegion2..G7</vt:lpstr>
      <vt:lpstr>RowTitleRegion2..G7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PHONGSAKON SANGSAHWAT</dc:creator>
  <cp:lastModifiedBy>WARANGKHANA SAMSEE</cp:lastModifiedBy>
  <cp:lastPrinted>2026-01-27T02:39:34Z</cp:lastPrinted>
  <dcterms:created xsi:type="dcterms:W3CDTF">2017-08-09T17:37:02Z</dcterms:created>
  <dcterms:modified xsi:type="dcterms:W3CDTF">2026-02-16T03:53:06Z</dcterms:modified>
</cp:coreProperties>
</file>